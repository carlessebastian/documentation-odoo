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oveedores" sheetId="2" state="visible" r:id="rId2"/>
  </sheets>
  <definedNames>
    <definedName name="_xlnm._FilterDatabase" localSheetId="1" hidden="1">'Proveedores'!$A$1:$Q$112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2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/>
      <bottom style="medium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3" fontId="6" fillId="0" borderId="2" applyAlignment="1" pivotButton="0" quotePrefix="0" xfId="0">
      <alignment horizontal="right" vertical="center"/>
    </xf>
    <xf numFmtId="4" fontId="6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60" customWidth="1" min="3" max="3"/>
  </cols>
  <sheetData>
    <row r="1">
      <c r="A1" s="1" t="inlineStr">
        <is>
          <t>Reclasificación tax `p_iva_exento` — sample agrupado por proveedor</t>
        </is>
      </c>
    </row>
    <row r="2">
      <c r="A2" s="2" t="inlineStr">
        <is>
          <t>Fuente: dump Holded 2026-05-11 — purchase.jsonl + purchaserefund.jsonl. Total: 111 proveedores, 2.146 docs, 439.122,30 € en líneas con tax key p_iva_exento.</t>
        </is>
      </c>
    </row>
    <row r="4">
      <c r="A4" s="3" t="inlineStr">
        <is>
          <t>Cubetas de decisión</t>
        </is>
      </c>
    </row>
    <row r="5">
      <c r="A5" s="4" t="inlineStr">
        <is>
          <t>Cubeta</t>
        </is>
      </c>
      <c r="B5" s="4" t="inlineStr">
        <is>
          <t>Tax destino</t>
        </is>
      </c>
      <c r="C5" s="4" t="inlineStr">
        <is>
          <t>Cuándo aplica</t>
        </is>
      </c>
    </row>
    <row r="6">
      <c r="A6" s="5" t="inlineStr">
        <is>
          <t>A. Exento real Art.20</t>
        </is>
      </c>
      <c r="B6" s="5" t="inlineStr">
        <is>
          <t>0% EXEMPT OP (id=95)</t>
        </is>
      </c>
      <c r="C6" s="5" t="inlineStr">
        <is>
          <t>Sanidad, vales empleados, financiero, notarial, admin pública, alquileres genuinos exentos.</t>
        </is>
      </c>
    </row>
    <row r="7">
      <c r="A7" s="5" t="inlineStr">
        <is>
          <t>B. Reverse charge intracom UE</t>
        </is>
      </c>
      <c r="B7" s="5" t="inlineStr">
        <is>
          <t>21% RC (id=112)</t>
        </is>
      </c>
      <c r="C7" s="5" t="inlineStr">
        <is>
          <t>Proveedor con NIF UE válido (IE/DE/NL/...). Lookup directo en l10n_es.</t>
        </is>
      </c>
    </row>
    <row r="8">
      <c r="A8" s="5" t="inlineStr">
        <is>
          <t>C. Reverse charge extra-UE</t>
        </is>
      </c>
      <c r="B8" s="5" t="inlineStr">
        <is>
          <t>21% RC (id=112) + flag review</t>
        </is>
      </c>
      <c r="C8" s="5" t="inlineStr">
        <is>
          <t>SaaS US/AU/HK/CN/UK/NO. Fase 5.3 puede requerir crear `21% RC ExtraUE`.</t>
        </is>
      </c>
    </row>
    <row r="9">
      <c r="A9" s="5" t="inlineStr">
        <is>
          <t>D. Olvido del operador en Holded</t>
        </is>
      </c>
      <c r="B9" s="5" t="inlineStr">
        <is>
          <t>21% G u otro tipo real</t>
        </is>
      </c>
      <c r="C9" s="5" t="inlineStr">
        <is>
          <t>Factura que debía llevar IVA repercutido normal — Holded recibió `p_iva_exento` por error.</t>
        </is>
      </c>
    </row>
    <row r="11">
      <c r="A11" s="3" t="inlineStr">
        <is>
          <t>Distribución por bucket</t>
        </is>
      </c>
    </row>
    <row r="12">
      <c r="A12" s="4" t="inlineStr">
        <is>
          <t>Bucket</t>
        </is>
      </c>
      <c r="B12" s="4" t="inlineStr">
        <is>
          <t>Suppliers</t>
        </is>
      </c>
      <c r="C12" s="4" t="inlineStr">
        <is>
          <t>Docs</t>
        </is>
      </c>
      <c r="D12" s="4" t="inlineStr">
        <is>
          <t>EUR exento</t>
        </is>
      </c>
    </row>
    <row r="13">
      <c r="A13" s="6" t="inlineStr">
        <is>
          <t>1. ES (España)</t>
        </is>
      </c>
      <c r="B13" s="7">
        <f>COUNTIF(Proveedores!A:A,"ES")</f>
        <v/>
      </c>
      <c r="C13" s="7">
        <f>SUMIF(Proveedores!A:A,"ES",Proveedores!E:E)</f>
        <v/>
      </c>
      <c r="D13" s="8">
        <f>SUMIF(Proveedores!A:A,"ES",Proveedores!G:G)</f>
        <v/>
      </c>
    </row>
    <row r="14">
      <c r="A14" s="6" t="inlineStr">
        <is>
          <t>2. UE no-ES (intracom)</t>
        </is>
      </c>
      <c r="B14" s="7">
        <f>COUNTIF(Proveedores!A:A,"UE_NO_ES")</f>
        <v/>
      </c>
      <c r="C14" s="7">
        <f>SUMIF(Proveedores!A:A,"UE_NO_ES",Proveedores!E:E)</f>
        <v/>
      </c>
      <c r="D14" s="8">
        <f>SUMIF(Proveedores!A:A,"UE_NO_ES",Proveedores!G:G)</f>
        <v/>
      </c>
    </row>
    <row r="15">
      <c r="A15" s="6" t="inlineStr">
        <is>
          <t>3. Extra-UE (SaaS)</t>
        </is>
      </c>
      <c r="B15" s="7">
        <f>COUNTIF(Proveedores!A:A,"EXTRA_UE")</f>
        <v/>
      </c>
      <c r="C15" s="7">
        <f>SUMIF(Proveedores!A:A,"EXTRA_UE",Proveedores!E:E)</f>
        <v/>
      </c>
      <c r="D15" s="8">
        <f>SUMIF(Proveedores!A:A,"EXTRA_UE",Proveedores!G:G)</f>
        <v/>
      </c>
    </row>
    <row r="16">
      <c r="A16" s="6" t="inlineStr">
        <is>
          <t>4. Sin país</t>
        </is>
      </c>
      <c r="B16" s="7">
        <f>COUNTIF(Proveedores!A:A,"SIN_PAIS")</f>
        <v/>
      </c>
      <c r="C16" s="7">
        <f>SUMIF(Proveedores!A:A,"SIN_PAIS",Proveedores!E:E)</f>
        <v/>
      </c>
      <c r="D16" s="8">
        <f>SUMIF(Proveedores!A:A,"SIN_PAIS",Proveedores!G:G)</f>
        <v/>
      </c>
    </row>
    <row r="17">
      <c r="A17" s="9" t="inlineStr">
        <is>
          <t>TOTAL</t>
        </is>
      </c>
      <c r="B17" s="10">
        <f>SUM(B13:B16)</f>
        <v/>
      </c>
      <c r="C17" s="10">
        <f>SUM(C13:C16)</f>
        <v/>
      </c>
      <c r="D17" s="11">
        <f>SUM(D13:D16)</f>
        <v/>
      </c>
    </row>
    <row r="20">
      <c r="A20" s="3" t="inlineStr">
        <is>
          <t>Distribución por decisión operador (rellena automáticamente al completar columna 'decision')</t>
        </is>
      </c>
    </row>
    <row r="21">
      <c r="A21" s="4" t="inlineStr">
        <is>
          <t>Decisión</t>
        </is>
      </c>
      <c r="B21" s="4" t="inlineStr">
        <is>
          <t>Suppliers</t>
        </is>
      </c>
      <c r="C21" s="4" t="inlineStr">
        <is>
          <t>EUR exento</t>
        </is>
      </c>
    </row>
    <row r="22">
      <c r="A22" s="6" t="inlineStr">
        <is>
          <t>A (Art.20 exento)</t>
        </is>
      </c>
      <c r="B22" s="7">
        <f>COUNTIF(Proveedores!N:N,"A*")</f>
        <v/>
      </c>
      <c r="C22" s="8">
        <f>SUMIF(Proveedores!N:N,"A*",Proveedores!G:G)</f>
        <v/>
      </c>
    </row>
    <row r="23">
      <c r="A23" s="6" t="inlineStr">
        <is>
          <t>B (RC intracom UE)</t>
        </is>
      </c>
      <c r="B23" s="7">
        <f>COUNTIF(Proveedores!N:N,"B*")</f>
        <v/>
      </c>
      <c r="C23" s="8">
        <f>SUMIF(Proveedores!N:N,"B*",Proveedores!G:G)</f>
        <v/>
      </c>
    </row>
    <row r="24">
      <c r="A24" s="6" t="inlineStr">
        <is>
          <t>C (RC extra-UE)</t>
        </is>
      </c>
      <c r="B24" s="7">
        <f>COUNTIF(Proveedores!N:N,"C*")</f>
        <v/>
      </c>
      <c r="C24" s="8">
        <f>SUMIF(Proveedores!N:N,"C*",Proveedores!G:G)</f>
        <v/>
      </c>
    </row>
    <row r="25">
      <c r="A25" s="6" t="inlineStr">
        <is>
          <t>D (olvido 21%)</t>
        </is>
      </c>
      <c r="B25" s="7">
        <f>COUNTIF(Proveedores!N:N,"D*")</f>
        <v/>
      </c>
      <c r="C25" s="8">
        <f>SUMIF(Proveedores!N:N,"D*",Proveedores!G:G)</f>
        <v/>
      </c>
    </row>
    <row r="26">
      <c r="A26" s="6" t="inlineStr">
        <is>
          <t>Otra/pendiente</t>
        </is>
      </c>
      <c r="B26" s="7">
        <f>COUNTIF(Proveedores!N:N,"")-1</f>
        <v/>
      </c>
      <c r="C26" s="8">
        <f>SUMIF(Proveedores!N:N,"",Proveedores!G:G)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7" customWidth="1" min="3" max="3"/>
    <col width="18" customWidth="1" min="4" max="4"/>
    <col width="7" customWidth="1" min="5" max="5"/>
    <col width="7" customWidth="1" min="6" max="6"/>
    <col width="16" customWidth="1" min="7" max="7"/>
    <col width="16" customWidth="1" min="8" max="8"/>
    <col width="7" customWidth="1" min="9" max="9"/>
    <col width="7" customWidth="1" min="10" max="10"/>
    <col width="9" customWidth="1" min="11" max="11"/>
    <col width="16" customWidth="1" min="12" max="12"/>
    <col width="42" customWidth="1" min="13" max="13"/>
    <col width="14" customWidth="1" min="14" max="14"/>
    <col width="30" customWidth="1" min="15" max="15"/>
    <col width="50" customWidth="1" min="16" max="16"/>
    <col width="35" customWidth="1" min="17" max="17"/>
  </cols>
  <sheetData>
    <row r="1">
      <c r="A1" s="4" t="inlineStr">
        <is>
          <t>Bucket</t>
        </is>
      </c>
      <c r="B1" s="4" t="inlineStr">
        <is>
          <t>Proveedor</t>
        </is>
      </c>
      <c r="C1" s="4" t="inlineStr">
        <is>
          <t>País</t>
        </is>
      </c>
      <c r="D1" s="4" t="inlineStr">
        <is>
          <t>Code/VAT</t>
        </is>
      </c>
      <c r="E1" s="4" t="inlineStr">
        <is>
          <t>Docs</t>
        </is>
      </c>
      <c r="F1" s="4" t="inlineStr">
        <is>
          <t>Líneas</t>
        </is>
      </c>
      <c r="G1" s="4" t="inlineStr">
        <is>
          <t>EUR exento líneas</t>
        </is>
      </c>
      <c r="H1" s="4" t="inlineStr">
        <is>
          <t>EUR total docs</t>
        </is>
      </c>
      <c r="I1" s="4" t="inlineStr">
        <is>
          <t>Desde</t>
        </is>
      </c>
      <c r="J1" s="4" t="inlineStr">
        <is>
          <t>Hasta</t>
        </is>
      </c>
      <c r="K1" s="4" t="inlineStr">
        <is>
          <t>Sugerencia tax_id</t>
        </is>
      </c>
      <c r="L1" s="4" t="inlineStr">
        <is>
          <t>Sugerencia label</t>
        </is>
      </c>
      <c r="M1" s="4" t="inlineStr">
        <is>
          <t>Razón heurística</t>
        </is>
      </c>
      <c r="N1" s="4" t="inlineStr">
        <is>
          <t>DECISIÓN (A/B/C/D)</t>
        </is>
      </c>
      <c r="O1" s="4" t="inlineStr">
        <is>
          <t>Notas operador</t>
        </is>
      </c>
      <c r="P1" s="4" t="inlineStr">
        <is>
          <t>Top descripciones</t>
        </is>
      </c>
      <c r="Q1" s="4" t="inlineStr">
        <is>
          <t>Sample docNumbers</t>
        </is>
      </c>
    </row>
    <row r="2">
      <c r="A2" s="12" t="inlineStr">
        <is>
          <t>ES</t>
        </is>
      </c>
      <c r="B2" s="13" t="inlineStr">
        <is>
          <t>CHEQUE DEUJENER S.A.</t>
        </is>
      </c>
      <c r="C2" s="14" t="inlineStr">
        <is>
          <t>ES</t>
        </is>
      </c>
      <c r="D2" s="13" t="inlineStr">
        <is>
          <t>A78887049</t>
        </is>
      </c>
      <c r="E2" s="15" t="n">
        <v>177</v>
      </c>
      <c r="F2" s="15" t="n">
        <v>300</v>
      </c>
      <c r="G2" s="16" t="n">
        <v>93074.45</v>
      </c>
      <c r="H2" s="16" t="n">
        <v>96098.82000000001</v>
      </c>
      <c r="I2" s="14" t="n">
        <v>2018</v>
      </c>
      <c r="J2" s="14" t="n">
        <v>2025</v>
      </c>
      <c r="K2" s="14" t="n">
        <v>95</v>
      </c>
      <c r="L2" s="14" t="inlineStr">
        <is>
          <t>0% EXEMPT</t>
        </is>
      </c>
      <c r="M2" s="13" t="inlineStr">
        <is>
          <t>Vales empleados Art.20</t>
        </is>
      </c>
      <c r="N2" s="17" t="inlineStr"/>
      <c r="O2" s="13" t="inlineStr"/>
      <c r="P2" s="13" t="inlineStr">
        <is>
          <t>COMPRAS SERVICIOS TIPO EXENTO | Cheque Deujener | Cheque Deujener Transporte</t>
        </is>
      </c>
      <c r="Q2" s="13" t="inlineStr">
        <is>
          <t>1818181 (438.19€) | 2804423 (102.42€)</t>
        </is>
      </c>
    </row>
    <row r="3">
      <c r="A3" s="12" t="inlineStr">
        <is>
          <t>ES</t>
        </is>
      </c>
      <c r="B3" s="13" t="inlineStr">
        <is>
          <t>PLUXEE ESPAÑA SAU</t>
        </is>
      </c>
      <c r="C3" s="14" t="inlineStr">
        <is>
          <t>ES</t>
        </is>
      </c>
      <c r="D3" s="13" t="inlineStr">
        <is>
          <t>A78604113</t>
        </is>
      </c>
      <c r="E3" s="15" t="n">
        <v>21</v>
      </c>
      <c r="F3" s="15" t="n">
        <v>24</v>
      </c>
      <c r="G3" s="16" t="n">
        <v>20320</v>
      </c>
      <c r="H3" s="16" t="n">
        <v>20627.9</v>
      </c>
      <c r="I3" s="14" t="n">
        <v>2024</v>
      </c>
      <c r="J3" s="14" t="n">
        <v>2026</v>
      </c>
      <c r="K3" s="14" t="n">
        <v>95</v>
      </c>
      <c r="L3" s="14" t="inlineStr">
        <is>
          <t>0% EXEMPT</t>
        </is>
      </c>
      <c r="M3" s="13" t="inlineStr">
        <is>
          <t>Vales empleados Art.20</t>
        </is>
      </c>
      <c r="N3" s="17" t="inlineStr"/>
      <c r="O3" s="13" t="inlineStr"/>
      <c r="P3" s="13" t="inlineStr">
        <is>
          <t>Pluxee | Importe de tarjetas | Prestación de servicio</t>
        </is>
      </c>
      <c r="Q3" s="13" t="inlineStr">
        <is>
          <t>1481803 (1522.69€) | 1470980 (1522.69€)</t>
        </is>
      </c>
    </row>
    <row r="4">
      <c r="A4" s="12" t="inlineStr">
        <is>
          <t>ES</t>
        </is>
      </c>
      <c r="B4" s="13" t="inlineStr">
        <is>
          <t>ARVAL SERVICE LEASE S.A.</t>
        </is>
      </c>
      <c r="C4" s="14" t="inlineStr">
        <is>
          <t>ES</t>
        </is>
      </c>
      <c r="D4" s="13" t="inlineStr">
        <is>
          <t>A81573479</t>
        </is>
      </c>
      <c r="E4" s="15" t="n">
        <v>96</v>
      </c>
      <c r="F4" s="15" t="n">
        <v>96</v>
      </c>
      <c r="G4" s="16" t="n">
        <v>19156.02</v>
      </c>
      <c r="H4" s="16" t="n">
        <v>41171.66</v>
      </c>
      <c r="I4" s="14" t="n">
        <v>2019</v>
      </c>
      <c r="J4" s="14" t="n">
        <v>2026</v>
      </c>
      <c r="K4" s="14" t="inlineStr"/>
      <c r="L4" s="14" t="inlineStr">
        <is>
          <t>REVISAR</t>
        </is>
      </c>
      <c r="M4" s="13" t="inlineStr">
        <is>
          <t>Renting: ¿exento o 21% genuino?</t>
        </is>
      </c>
      <c r="N4" s="17" t="inlineStr"/>
      <c r="O4" s="13" t="inlineStr"/>
      <c r="P4" s="13" t="inlineStr">
        <is>
          <t>Arval | COMPRAS SERVICIOS TIPO EXENTO | Servicio de Renting</t>
        </is>
      </c>
      <c r="Q4" s="13" t="inlineStr">
        <is>
          <t>1901055838 (484€) | 1900980975 (484€)</t>
        </is>
      </c>
    </row>
    <row r="5">
      <c r="A5" s="12" t="inlineStr">
        <is>
          <t>ES</t>
        </is>
      </c>
      <c r="B5" s="13" t="inlineStr">
        <is>
          <t>LYNK &amp; CO SALES SPAIN SL</t>
        </is>
      </c>
      <c r="C5" s="14" t="inlineStr">
        <is>
          <t>ES</t>
        </is>
      </c>
      <c r="D5" s="13" t="inlineStr">
        <is>
          <t>B05398037</t>
        </is>
      </c>
      <c r="E5" s="15" t="n">
        <v>46</v>
      </c>
      <c r="F5" s="15" t="n">
        <v>46</v>
      </c>
      <c r="G5" s="16" t="n">
        <v>15155.25</v>
      </c>
      <c r="H5" s="16" t="n">
        <v>30310.5</v>
      </c>
      <c r="I5" s="14" t="n">
        <v>2022</v>
      </c>
      <c r="J5" s="14" t="n">
        <v>2025</v>
      </c>
      <c r="K5" s="14" t="inlineStr"/>
      <c r="L5" s="14" t="inlineStr">
        <is>
          <t>DECIDIR</t>
        </is>
      </c>
      <c r="M5" s="13" t="inlineStr">
        <is>
          <t>ES sin tax explicito: ¿olvido 21% o Art.20?</t>
        </is>
      </c>
      <c r="N5" s="17" t="inlineStr"/>
      <c r="O5" s="13" t="inlineStr"/>
      <c r="P5" s="13" t="inlineStr">
        <is>
          <t>LYNK &amp; CO | LYNK &amp; CO (diciembre) | LYNK &amp; CO (MAYO)</t>
        </is>
      </c>
      <c r="Q5" s="13" t="inlineStr">
        <is>
          <t>1800003425 (665.5€) | 1800003079 (665.5€)</t>
        </is>
      </c>
    </row>
    <row r="6">
      <c r="A6" s="12" t="inlineStr">
        <is>
          <t>ES</t>
        </is>
      </c>
      <c r="B6" s="13" t="inlineStr">
        <is>
          <t>LEASE PLAN SERVICIOS S.A.</t>
        </is>
      </c>
      <c r="C6" s="14" t="inlineStr">
        <is>
          <t>ES</t>
        </is>
      </c>
      <c r="D6" s="13" t="inlineStr">
        <is>
          <t>A78007473</t>
        </is>
      </c>
      <c r="E6" s="15" t="n">
        <v>54</v>
      </c>
      <c r="F6" s="15" t="n">
        <v>59</v>
      </c>
      <c r="G6" s="16" t="n">
        <v>14253.74</v>
      </c>
      <c r="H6" s="16" t="n">
        <v>51577.06</v>
      </c>
      <c r="I6" s="14" t="n">
        <v>2018</v>
      </c>
      <c r="J6" s="14" t="n">
        <v>2022</v>
      </c>
      <c r="K6" s="14" t="inlineStr"/>
      <c r="L6" s="14" t="inlineStr">
        <is>
          <t>REVISAR</t>
        </is>
      </c>
      <c r="M6" s="13" t="inlineStr">
        <is>
          <t>Renting: ¿exento o 21% genuino?</t>
        </is>
      </c>
      <c r="N6" s="17" t="inlineStr"/>
      <c r="O6" s="13" t="inlineStr"/>
      <c r="P6" s="13" t="inlineStr">
        <is>
          <t>COMPRAS SERVICIOS TIPO EXENTO | Lease Plan</t>
        </is>
      </c>
      <c r="Q6" s="13" t="inlineStr">
        <is>
          <t>14449538 (1190.14€) | 13600963 (495.13€)</t>
        </is>
      </c>
    </row>
    <row r="7">
      <c r="A7" s="12" t="inlineStr">
        <is>
          <t>ES</t>
        </is>
      </c>
      <c r="B7" s="13" t="inlineStr">
        <is>
          <t>QUIRON PREVENCION S.L.U.</t>
        </is>
      </c>
      <c r="C7" s="14" t="inlineStr">
        <is>
          <t>ES</t>
        </is>
      </c>
      <c r="D7" s="13" t="inlineStr">
        <is>
          <t>B64076482</t>
        </is>
      </c>
      <c r="E7" s="15" t="n">
        <v>72</v>
      </c>
      <c r="F7" s="15" t="n">
        <v>83</v>
      </c>
      <c r="G7" s="16" t="n">
        <v>7396.87</v>
      </c>
      <c r="H7" s="16" t="n">
        <v>8126.89</v>
      </c>
      <c r="I7" s="14" t="n">
        <v>2018</v>
      </c>
      <c r="J7" s="14" t="n">
        <v>2026</v>
      </c>
      <c r="K7" s="14" t="n">
        <v>95</v>
      </c>
      <c r="L7" s="14" t="inlineStr">
        <is>
          <t>0% EXEMPT</t>
        </is>
      </c>
      <c r="M7" s="13" t="inlineStr">
        <is>
          <t>Art.20 sanidad/seguros</t>
        </is>
      </c>
      <c r="N7" s="17" t="inlineStr"/>
      <c r="O7" s="13" t="inlineStr"/>
      <c r="P7" s="13" t="inlineStr">
        <is>
          <t>Quiron Prevencion | COMPRAS SERVICIOS TIPO EXENTO | COMPRAS SERVICIOS TIPO 21%</t>
        </is>
      </c>
      <c r="Q7" s="13" t="inlineStr">
        <is>
          <t>0118502722 (167.46€) | 0118128937 (30€)</t>
        </is>
      </c>
    </row>
    <row r="8">
      <c r="A8" s="12" t="inlineStr">
        <is>
          <t>ES</t>
        </is>
      </c>
      <c r="B8" s="13" t="inlineStr">
        <is>
          <t>MOLDTRANS S.L.</t>
        </is>
      </c>
      <c r="C8" s="14" t="inlineStr">
        <is>
          <t>ES</t>
        </is>
      </c>
      <c r="D8" s="13" t="inlineStr">
        <is>
          <t>B08569089</t>
        </is>
      </c>
      <c r="E8" s="15" t="n">
        <v>77</v>
      </c>
      <c r="F8" s="15" t="n">
        <v>80</v>
      </c>
      <c r="G8" s="16" t="n">
        <v>7382.83</v>
      </c>
      <c r="H8" s="16" t="n">
        <v>7933.3</v>
      </c>
      <c r="I8" s="14" t="n">
        <v>2018</v>
      </c>
      <c r="J8" s="14" t="n">
        <v>2022</v>
      </c>
      <c r="K8" s="14" t="inlineStr"/>
      <c r="L8" s="14" t="inlineStr">
        <is>
          <t>DECIDIR</t>
        </is>
      </c>
      <c r="M8" s="13" t="inlineStr">
        <is>
          <t>ES sin tax explicito: ¿olvido 21% o Art.20?</t>
        </is>
      </c>
      <c r="N8" s="17" t="inlineStr"/>
      <c r="O8" s="13" t="inlineStr"/>
      <c r="P8" s="13" t="inlineStr">
        <is>
          <t>COMPRAS SERVICIOS TIPO EXENTO | Moldtrans | Moldtrans (Agosto)</t>
        </is>
      </c>
      <c r="Q8" s="13" t="inlineStr">
        <is>
          <t>BCNV135188 (496.34€) | BCNV300655 (2.54€)</t>
        </is>
      </c>
    </row>
    <row r="9">
      <c r="A9" s="12" t="inlineStr">
        <is>
          <t>ES</t>
        </is>
      </c>
      <c r="B9" s="13" t="inlineStr">
        <is>
          <t>PORTOLES CARILLA, ANA</t>
        </is>
      </c>
      <c r="C9" s="14" t="inlineStr">
        <is>
          <t>ES</t>
        </is>
      </c>
      <c r="D9" s="13" t="inlineStr">
        <is>
          <t>44999256D</t>
        </is>
      </c>
      <c r="E9" s="15" t="n">
        <v>11</v>
      </c>
      <c r="F9" s="15" t="n">
        <v>11</v>
      </c>
      <c r="G9" s="16" t="n">
        <v>5470.67</v>
      </c>
      <c r="H9" s="16" t="n">
        <v>4650.08</v>
      </c>
      <c r="I9" s="14" t="n">
        <v>2018</v>
      </c>
      <c r="J9" s="14" t="n">
        <v>2019</v>
      </c>
      <c r="K9" s="14" t="inlineStr"/>
      <c r="L9" s="14" t="inlineStr">
        <is>
          <t>DECIDIR</t>
        </is>
      </c>
      <c r="M9" s="13" t="inlineStr">
        <is>
          <t>ES sin tax explicito: ¿olvido 21% o Art.20?</t>
        </is>
      </c>
      <c r="N9" s="17" t="inlineStr"/>
      <c r="O9" s="13" t="inlineStr"/>
      <c r="P9" s="13" t="inlineStr">
        <is>
          <t>COMPRAS SERVICIOS TIPO EXENTO</t>
        </is>
      </c>
      <c r="Q9" s="13" t="inlineStr">
        <is>
          <t>F015 (450€) | F014 (600€)</t>
        </is>
      </c>
    </row>
    <row r="10">
      <c r="A10" s="12" t="inlineStr">
        <is>
          <t>ES</t>
        </is>
      </c>
      <c r="B10" s="13" t="inlineStr">
        <is>
          <t>EVA MELUS FIERRO</t>
        </is>
      </c>
      <c r="C10" s="14" t="inlineStr">
        <is>
          <t>ES</t>
        </is>
      </c>
      <c r="D10" s="13" t="inlineStr">
        <is>
          <t>52208721D</t>
        </is>
      </c>
      <c r="E10" s="15" t="n">
        <v>11</v>
      </c>
      <c r="F10" s="15" t="n">
        <v>11</v>
      </c>
      <c r="G10" s="16" t="n">
        <v>4200</v>
      </c>
      <c r="H10" s="16" t="n">
        <v>3570</v>
      </c>
      <c r="I10" s="14" t="n">
        <v>2018</v>
      </c>
      <c r="J10" s="14" t="n">
        <v>2019</v>
      </c>
      <c r="K10" s="14" t="inlineStr"/>
      <c r="L10" s="14" t="inlineStr">
        <is>
          <t>DECIDIR</t>
        </is>
      </c>
      <c r="M10" s="13" t="inlineStr">
        <is>
          <t>ES sin tax explicito: ¿olvido 21% o Art.20?</t>
        </is>
      </c>
      <c r="N10" s="17" t="inlineStr"/>
      <c r="O10" s="13" t="inlineStr"/>
      <c r="P10" s="13" t="inlineStr">
        <is>
          <t>COMPRAS SERVICIOS TIPO EXENTO</t>
        </is>
      </c>
      <c r="Q10" s="13" t="inlineStr">
        <is>
          <t>293 (382.5€) | 288 (382.5€)</t>
        </is>
      </c>
    </row>
    <row r="11">
      <c r="A11" s="12" t="inlineStr">
        <is>
          <t>ES</t>
        </is>
      </c>
      <c r="B11" s="13" t="inlineStr">
        <is>
          <t>AMAZON EU S.A.R.L</t>
        </is>
      </c>
      <c r="C11" s="14" t="inlineStr">
        <is>
          <t>ES</t>
        </is>
      </c>
      <c r="D11" s="13" t="inlineStr">
        <is>
          <t>W0184081H</t>
        </is>
      </c>
      <c r="E11" s="15" t="n">
        <v>6</v>
      </c>
      <c r="F11" s="15" t="n">
        <v>6</v>
      </c>
      <c r="G11" s="16" t="n">
        <v>3315.53</v>
      </c>
      <c r="H11" s="16" t="n">
        <v>3315.53</v>
      </c>
      <c r="I11" s="14" t="n">
        <v>2022</v>
      </c>
      <c r="J11" s="14" t="n">
        <v>2026</v>
      </c>
      <c r="K11" s="14" t="inlineStr"/>
      <c r="L11" s="14" t="inlineStr">
        <is>
          <t>DECIDIR</t>
        </is>
      </c>
      <c r="M11" s="13" t="inlineStr">
        <is>
          <t>ES sin tax explicito: ¿olvido 21% o Art.20?</t>
        </is>
      </c>
      <c r="N11" s="17" t="inlineStr"/>
      <c r="O11" s="13" t="inlineStr"/>
      <c r="P11" s="13" t="inlineStr">
        <is>
          <t>Amazon | PORT-069 HP Laptop PORT-069 EliteBook 840 G11 14" Intel Core | Amazon eGift Card - You're the best. (Animated)</t>
        </is>
      </c>
      <c r="Q11" s="13" t="inlineStr">
        <is>
          <t>ES217DB4AEUI (300€) | ES315Z9MAEUI (315€)</t>
        </is>
      </c>
    </row>
    <row r="12">
      <c r="A12" s="12" t="inlineStr">
        <is>
          <t>ES</t>
        </is>
      </c>
      <c r="B12" s="13" t="inlineStr">
        <is>
          <t>REGISTRARMARCAS, S.L</t>
        </is>
      </c>
      <c r="C12" s="14" t="inlineStr">
        <is>
          <t>ES</t>
        </is>
      </c>
      <c r="D12" s="13" t="inlineStr">
        <is>
          <t>B64938624</t>
        </is>
      </c>
      <c r="E12" s="15" t="n">
        <v>5</v>
      </c>
      <c r="F12" s="15" t="n">
        <v>5</v>
      </c>
      <c r="G12" s="16" t="n">
        <v>2896.44</v>
      </c>
      <c r="H12" s="16" t="n">
        <v>3792.98</v>
      </c>
      <c r="I12" s="14" t="n">
        <v>2022</v>
      </c>
      <c r="J12" s="14" t="n">
        <v>2022</v>
      </c>
      <c r="K12" s="14" t="inlineStr"/>
      <c r="L12" s="14" t="inlineStr">
        <is>
          <t>DECIDIR</t>
        </is>
      </c>
      <c r="M12" s="13" t="inlineStr">
        <is>
          <t>ES sin tax explicito: ¿olvido 21% o Art.20?</t>
        </is>
      </c>
      <c r="N12" s="17" t="inlineStr"/>
      <c r="O12" s="13" t="inlineStr"/>
      <c r="P12" s="13" t="inlineStr">
        <is>
          <t>RegistrarMarcas | REGISTRAR MARCA DENOMINATIVA FARMACLOUD | REGISTRAR MARCA FIGURATIVA FARMACLOUD</t>
        </is>
      </c>
      <c r="Q12" s="13" t="inlineStr">
        <is>
          <t>4188 (378.99€) | 4189 (378.99€)</t>
        </is>
      </c>
    </row>
    <row r="13">
      <c r="A13" s="12" t="inlineStr">
        <is>
          <t>ES</t>
        </is>
      </c>
      <c r="B13" s="13" t="inlineStr">
        <is>
          <t>VUELING AIRLINES S.A.</t>
        </is>
      </c>
      <c r="C13" s="14" t="inlineStr">
        <is>
          <t>ES</t>
        </is>
      </c>
      <c r="D13" s="13" t="inlineStr">
        <is>
          <t>A63422141</t>
        </is>
      </c>
      <c r="E13" s="15" t="n">
        <v>28</v>
      </c>
      <c r="F13" s="15" t="n">
        <v>32</v>
      </c>
      <c r="G13" s="16" t="n">
        <v>2169.16</v>
      </c>
      <c r="H13" s="16" t="n">
        <v>6240.72</v>
      </c>
      <c r="I13" s="14" t="n">
        <v>2018</v>
      </c>
      <c r="J13" s="14" t="n">
        <v>2025</v>
      </c>
      <c r="K13" s="14" t="inlineStr"/>
      <c r="L13" s="14" t="inlineStr">
        <is>
          <t>REVISAR</t>
        </is>
      </c>
      <c r="M13" s="13" t="inlineStr">
        <is>
          <t>Transporte: a veces lleva IVA 10%</t>
        </is>
      </c>
      <c r="N13" s="17" t="inlineStr"/>
      <c r="O13" s="13" t="inlineStr"/>
      <c r="P13" s="13" t="inlineStr">
        <is>
          <t>COMPRAS SERVICIOS TIPO EXENTO | Vueling (Geraldine Garcia) | COMPRAS BIENES TIPO EXENTO</t>
        </is>
      </c>
      <c r="Q13" s="13" t="inlineStr">
        <is>
          <t>905771 (199.88€) | 138937 (61.17€)</t>
        </is>
      </c>
    </row>
    <row r="14">
      <c r="A14" s="12" t="inlineStr">
        <is>
          <t>ES</t>
        </is>
      </c>
      <c r="B14" s="13" t="inlineStr">
        <is>
          <t>NACEX A.R.B.94 S.L.</t>
        </is>
      </c>
      <c r="C14" s="14" t="inlineStr">
        <is>
          <t>ES</t>
        </is>
      </c>
      <c r="D14" s="13" t="inlineStr">
        <is>
          <t>B60686169</t>
        </is>
      </c>
      <c r="E14" s="15" t="n">
        <v>47</v>
      </c>
      <c r="F14" s="15" t="n">
        <v>47</v>
      </c>
      <c r="G14" s="16" t="n">
        <v>2070.71</v>
      </c>
      <c r="H14" s="16" t="n">
        <v>20405.55</v>
      </c>
      <c r="I14" s="14" t="n">
        <v>2022</v>
      </c>
      <c r="J14" s="14" t="n">
        <v>2025</v>
      </c>
      <c r="K14" s="14" t="inlineStr"/>
      <c r="L14" s="14" t="inlineStr">
        <is>
          <t>DECIDIR</t>
        </is>
      </c>
      <c r="M14" s="13" t="inlineStr">
        <is>
          <t>ES sin tax explicito: ¿olvido 21% o Art.20?</t>
        </is>
      </c>
      <c r="N14" s="17" t="inlineStr"/>
      <c r="O14" s="13" t="inlineStr"/>
      <c r="P14" s="13" t="inlineStr">
        <is>
          <t>Nacex</t>
        </is>
      </c>
      <c r="Q14" s="13" t="inlineStr">
        <is>
          <t>S2890 (8.56€) | A106345 (1033.93€)</t>
        </is>
      </c>
    </row>
    <row r="15">
      <c r="A15" s="12" t="inlineStr">
        <is>
          <t>ES</t>
        </is>
      </c>
      <c r="B15" s="13" t="inlineStr">
        <is>
          <t>FED.FARMACEUTICA S.COOP.CL.</t>
        </is>
      </c>
      <c r="C15" s="14" t="inlineStr">
        <is>
          <t>ES</t>
        </is>
      </c>
      <c r="D15" s="13" t="inlineStr">
        <is>
          <t>F08173395</t>
        </is>
      </c>
      <c r="E15" s="15" t="n">
        <v>11</v>
      </c>
      <c r="F15" s="15" t="n">
        <v>11</v>
      </c>
      <c r="G15" s="16" t="n">
        <v>1973.19</v>
      </c>
      <c r="H15" s="16" t="n">
        <v>1598.28</v>
      </c>
      <c r="I15" s="14" t="n">
        <v>2018</v>
      </c>
      <c r="J15" s="14" t="n">
        <v>2025</v>
      </c>
      <c r="K15" s="14" t="inlineStr"/>
      <c r="L15" s="14" t="inlineStr">
        <is>
          <t>DECIDIR</t>
        </is>
      </c>
      <c r="M15" s="13" t="inlineStr">
        <is>
          <t>ES sin tax explicito: ¿olvido 21% o Art.20?</t>
        </is>
      </c>
      <c r="N15" s="17" t="inlineStr"/>
      <c r="O15" s="13" t="inlineStr"/>
      <c r="P15" s="13" t="inlineStr">
        <is>
          <t>COMPRAS SERVICIOS TIPO EXENTO | Fede</t>
        </is>
      </c>
      <c r="Q15" s="13" t="inlineStr">
        <is>
          <t>VN180082235 (-66.91€) | VN180065249 (66.91€)</t>
        </is>
      </c>
    </row>
    <row r="16">
      <c r="A16" s="12" t="inlineStr">
        <is>
          <t>ES</t>
        </is>
      </c>
      <c r="B16" s="13" t="inlineStr">
        <is>
          <t>ASSOCIACIO DEL CLUSTER BELLESA DE CATALUNYA</t>
        </is>
      </c>
      <c r="C16" s="14" t="inlineStr">
        <is>
          <t>ES</t>
        </is>
      </c>
      <c r="D16" s="13" t="inlineStr">
        <is>
          <t>G66286105</t>
        </is>
      </c>
      <c r="E16" s="15" t="n">
        <v>1</v>
      </c>
      <c r="F16" s="15" t="n">
        <v>1</v>
      </c>
      <c r="G16" s="16" t="n">
        <v>1200</v>
      </c>
      <c r="H16" s="16" t="n">
        <v>1200</v>
      </c>
      <c r="I16" s="14" t="n">
        <v>2018</v>
      </c>
      <c r="J16" s="14" t="n">
        <v>2018</v>
      </c>
      <c r="K16" s="14" t="inlineStr"/>
      <c r="L16" s="14" t="inlineStr">
        <is>
          <t>DECIDIR</t>
        </is>
      </c>
      <c r="M16" s="13" t="inlineStr">
        <is>
          <t>ES sin tax explicito: ¿olvido 21% o Art.20?</t>
        </is>
      </c>
      <c r="N16" s="17" t="inlineStr"/>
      <c r="O16" s="13" t="inlineStr"/>
      <c r="P16" s="13" t="inlineStr">
        <is>
          <t>COMPRAS SERVICIOS TIPO EXENTO</t>
        </is>
      </c>
      <c r="Q16" s="13" t="inlineStr">
        <is>
          <t>20180147 (1200€)</t>
        </is>
      </c>
    </row>
    <row r="17">
      <c r="A17" s="12" t="inlineStr">
        <is>
          <t>ES</t>
        </is>
      </c>
      <c r="B17" s="13" t="inlineStr">
        <is>
          <t>JAVIER FERRER GONZALEZ</t>
        </is>
      </c>
      <c r="C17" s="14" t="inlineStr">
        <is>
          <t>ES</t>
        </is>
      </c>
      <c r="D17" s="13" t="inlineStr">
        <is>
          <t>47658995M</t>
        </is>
      </c>
      <c r="E17" s="15" t="n">
        <v>1</v>
      </c>
      <c r="F17" s="15" t="n">
        <v>1</v>
      </c>
      <c r="G17" s="16" t="n">
        <v>1027.95</v>
      </c>
      <c r="H17" s="16" t="n">
        <v>955.99</v>
      </c>
      <c r="I17" s="14" t="n">
        <v>2019</v>
      </c>
      <c r="J17" s="14" t="n">
        <v>2019</v>
      </c>
      <c r="K17" s="14" t="inlineStr"/>
      <c r="L17" s="14" t="inlineStr">
        <is>
          <t>DECIDIR</t>
        </is>
      </c>
      <c r="M17" s="13" t="inlineStr">
        <is>
          <t>ES sin tax explicito: ¿olvido 21% o Art.20?</t>
        </is>
      </c>
      <c r="N17" s="17" t="inlineStr"/>
      <c r="O17" s="13" t="inlineStr"/>
      <c r="P17" s="13" t="inlineStr">
        <is>
          <t>COMPRAS SERVICIOS TIPO EXENTO</t>
        </is>
      </c>
      <c r="Q17" s="13" t="inlineStr">
        <is>
          <t>2019030010 (955.99€)</t>
        </is>
      </c>
    </row>
    <row r="18">
      <c r="A18" s="12" t="inlineStr">
        <is>
          <t>ES</t>
        </is>
      </c>
      <c r="B18" s="13" t="inlineStr">
        <is>
          <t>AUTOMOBILS A R MOTORS SL (AR MOTORS AUTOMOBILS A.R. MOTORS S.L.)</t>
        </is>
      </c>
      <c r="C18" s="14" t="inlineStr">
        <is>
          <t>ES</t>
        </is>
      </c>
      <c r="D18" s="13" t="inlineStr">
        <is>
          <t>B08126021</t>
        </is>
      </c>
      <c r="E18" s="15" t="n">
        <v>2</v>
      </c>
      <c r="F18" s="15" t="n">
        <v>2</v>
      </c>
      <c r="G18" s="16" t="n">
        <v>1000</v>
      </c>
      <c r="H18" s="16" t="n">
        <v>1000</v>
      </c>
      <c r="I18" s="14" t="n">
        <v>2025</v>
      </c>
      <c r="J18" s="14" t="n">
        <v>2025</v>
      </c>
      <c r="K18" s="14" t="inlineStr"/>
      <c r="L18" s="14" t="inlineStr">
        <is>
          <t>DECIDIR</t>
        </is>
      </c>
      <c r="M18" s="13" t="inlineStr">
        <is>
          <t>ES sin tax explicito: ¿olvido 21% o Art.20?</t>
        </is>
      </c>
      <c r="N18" s="17" t="inlineStr"/>
      <c r="O18" s="13" t="inlineStr"/>
      <c r="P18" s="13" t="inlineStr">
        <is>
          <t>Vehículo Geraldine (FIANZA)</t>
        </is>
      </c>
      <c r="Q18" s="13" t="inlineStr">
        <is>
          <t>104907 (500€) | 110225 (500€)</t>
        </is>
      </c>
    </row>
    <row r="19">
      <c r="A19" s="12" t="inlineStr">
        <is>
          <t>ES</t>
        </is>
      </c>
      <c r="B19" s="13" t="inlineStr">
        <is>
          <t>CODELY ENSEÑA Y ENTRETIENE, S.L</t>
        </is>
      </c>
      <c r="C19" s="14" t="inlineStr">
        <is>
          <t>ES</t>
        </is>
      </c>
      <c r="D19" s="13" t="inlineStr">
        <is>
          <t>B67560615</t>
        </is>
      </c>
      <c r="E19" s="15" t="n">
        <v>1</v>
      </c>
      <c r="F19" s="15" t="n">
        <v>1</v>
      </c>
      <c r="G19" s="16" t="n">
        <v>956</v>
      </c>
      <c r="H19" s="16" t="n">
        <v>956</v>
      </c>
      <c r="I19" s="14" t="n">
        <v>2020</v>
      </c>
      <c r="J19" s="14" t="n">
        <v>2020</v>
      </c>
      <c r="K19" s="14" t="inlineStr"/>
      <c r="L19" s="14" t="inlineStr">
        <is>
          <t>DECIDIR</t>
        </is>
      </c>
      <c r="M19" s="13" t="inlineStr">
        <is>
          <t>ES sin tax explicito: ¿olvido 21% o Art.20?</t>
        </is>
      </c>
      <c r="N19" s="17" t="inlineStr"/>
      <c r="O19" s="13" t="inlineStr"/>
      <c r="P19" s="13" t="inlineStr">
        <is>
          <t>COMPRAS SERVICIOS TIPO EXENTO</t>
        </is>
      </c>
      <c r="Q19" s="13" t="inlineStr">
        <is>
          <t>2020030150 (956€)</t>
        </is>
      </c>
    </row>
    <row r="20">
      <c r="A20" s="12" t="inlineStr">
        <is>
          <t>ES</t>
        </is>
      </c>
      <c r="B20" s="13" t="inlineStr">
        <is>
          <t>HOTEL TABURIENTE S.L.</t>
        </is>
      </c>
      <c r="C20" s="14" t="inlineStr">
        <is>
          <t>ES</t>
        </is>
      </c>
      <c r="D20" s="13" t="inlineStr">
        <is>
          <t>B38460358</t>
        </is>
      </c>
      <c r="E20" s="15" t="n">
        <v>3</v>
      </c>
      <c r="F20" s="15" t="n">
        <v>3</v>
      </c>
      <c r="G20" s="16" t="n">
        <v>885.9</v>
      </c>
      <c r="H20" s="16" t="n">
        <v>885.9</v>
      </c>
      <c r="I20" s="14" t="n">
        <v>2018</v>
      </c>
      <c r="J20" s="14" t="n">
        <v>2019</v>
      </c>
      <c r="K20" s="14" t="inlineStr"/>
      <c r="L20" s="14" t="inlineStr">
        <is>
          <t>DECIDIR</t>
        </is>
      </c>
      <c r="M20" s="13" t="inlineStr">
        <is>
          <t>ES sin tax explicito: ¿olvido 21% o Art.20?</t>
        </is>
      </c>
      <c r="N20" s="17" t="inlineStr"/>
      <c r="O20" s="13" t="inlineStr"/>
      <c r="P20" s="13" t="inlineStr">
        <is>
          <t>COMPRAS SERVICIOS TIPO EXENTO</t>
        </is>
      </c>
      <c r="Q20" s="13" t="inlineStr">
        <is>
          <t>F135605 (380.05€) | F135507 (88.05€)</t>
        </is>
      </c>
    </row>
    <row r="21">
      <c r="A21" s="12" t="inlineStr">
        <is>
          <t>ES</t>
        </is>
      </c>
      <c r="B21" s="13" t="inlineStr">
        <is>
          <t>A.R.B. 94 S.L. "NACEX"</t>
        </is>
      </c>
      <c r="C21" s="14" t="inlineStr">
        <is>
          <t>ES</t>
        </is>
      </c>
      <c r="D21" s="13" t="inlineStr">
        <is>
          <t>B60686169</t>
        </is>
      </c>
      <c r="E21" s="15" t="n">
        <v>15</v>
      </c>
      <c r="F21" s="15" t="n">
        <v>17</v>
      </c>
      <c r="G21" s="16" t="n">
        <v>842.85</v>
      </c>
      <c r="H21" s="16" t="n">
        <v>5631.39</v>
      </c>
      <c r="I21" s="14" t="n">
        <v>2018</v>
      </c>
      <c r="J21" s="14" t="n">
        <v>2026</v>
      </c>
      <c r="K21" s="14" t="inlineStr"/>
      <c r="L21" s="14" t="inlineStr">
        <is>
          <t>DECIDIR</t>
        </is>
      </c>
      <c r="M21" s="13" t="inlineStr">
        <is>
          <t>ES sin tax explicito: ¿olvido 21% o Art.20?</t>
        </is>
      </c>
      <c r="N21" s="17" t="inlineStr"/>
      <c r="O21" s="13" t="inlineStr"/>
      <c r="P21" s="13" t="inlineStr">
        <is>
          <t>COMPRAS SERVICIOS TIPO EXENTO | Nacex | COMPRAS BIENES TIPO EXENTO</t>
        </is>
      </c>
      <c r="Q21" s="13" t="inlineStr">
        <is>
          <t>S1930 (4.4€) | S1849 (1.67€)</t>
        </is>
      </c>
    </row>
    <row r="22">
      <c r="A22" s="12" t="inlineStr">
        <is>
          <t>ES</t>
        </is>
      </c>
      <c r="B22" s="13" t="inlineStr">
        <is>
          <t>AMAZON EU S.A.R.L.</t>
        </is>
      </c>
      <c r="C22" s="14" t="inlineStr">
        <is>
          <t>ES</t>
        </is>
      </c>
      <c r="D22" s="13" t="inlineStr">
        <is>
          <t>N1081152I</t>
        </is>
      </c>
      <c r="E22" s="15" t="n">
        <v>11</v>
      </c>
      <c r="F22" s="15" t="n">
        <v>11</v>
      </c>
      <c r="G22" s="16" t="n">
        <v>839.7</v>
      </c>
      <c r="H22" s="16" t="n">
        <v>839.7</v>
      </c>
      <c r="I22" s="14" t="n">
        <v>2019</v>
      </c>
      <c r="J22" s="14" t="n">
        <v>2021</v>
      </c>
      <c r="K22" s="14" t="inlineStr"/>
      <c r="L22" s="14" t="inlineStr">
        <is>
          <t>DECIDIR</t>
        </is>
      </c>
      <c r="M22" s="13" t="inlineStr">
        <is>
          <t>ES sin tax explicito: ¿olvido 21% o Art.20?</t>
        </is>
      </c>
      <c r="N22" s="17" t="inlineStr"/>
      <c r="O22" s="13" t="inlineStr"/>
      <c r="P22" s="13" t="inlineStr">
        <is>
          <t>COMPRAS BIENES TIPO EXENTO | COMPRAS SERVICIOS TIPO EXENTO | COMPRAS BIENES TIPO 4%</t>
        </is>
      </c>
      <c r="Q22" s="13" t="inlineStr">
        <is>
          <t>INVGB320156235201911 (19.99€) | AEUINVES20201822314 (30€)</t>
        </is>
      </c>
    </row>
    <row r="23">
      <c r="A23" s="12" t="inlineStr">
        <is>
          <t>ES</t>
        </is>
      </c>
      <c r="B23" s="13" t="inlineStr">
        <is>
          <t>AVIS ALQUILE UN COCHE S.A.</t>
        </is>
      </c>
      <c r="C23" s="14" t="inlineStr">
        <is>
          <t>ES</t>
        </is>
      </c>
      <c r="D23" s="13" t="inlineStr">
        <is>
          <t>A28152767</t>
        </is>
      </c>
      <c r="E23" s="15" t="n">
        <v>4</v>
      </c>
      <c r="F23" s="15" t="n">
        <v>4</v>
      </c>
      <c r="G23" s="16" t="n">
        <v>677.13</v>
      </c>
      <c r="H23" s="16" t="n">
        <v>769.84</v>
      </c>
      <c r="I23" s="14" t="n">
        <v>2018</v>
      </c>
      <c r="J23" s="14" t="n">
        <v>2023</v>
      </c>
      <c r="K23" s="14" t="inlineStr"/>
      <c r="L23" s="14" t="inlineStr">
        <is>
          <t>DECIDIR</t>
        </is>
      </c>
      <c r="M23" s="13" t="inlineStr">
        <is>
          <t>ES sin tax explicito: ¿olvido 21% o Art.20?</t>
        </is>
      </c>
      <c r="N23" s="17" t="inlineStr"/>
      <c r="O23" s="13" t="inlineStr"/>
      <c r="P23" s="13" t="inlineStr">
        <is>
          <t>COMPRAS SERVICIOS TIPO EXENTO | COMPRAS BIENES TIPO EXENTO | AVIS</t>
        </is>
      </c>
      <c r="Q23" s="13" t="inlineStr">
        <is>
          <t>I09515802220470 (214.08€) | I09515801898643 (227.25€)</t>
        </is>
      </c>
    </row>
    <row r="24">
      <c r="A24" s="12" t="inlineStr">
        <is>
          <t>ES</t>
        </is>
      </c>
      <c r="B24" s="13" t="inlineStr">
        <is>
          <t>DURAN SINDREU S.L.P.</t>
        </is>
      </c>
      <c r="C24" s="14" t="inlineStr">
        <is>
          <t>ES</t>
        </is>
      </c>
      <c r="D24" s="13" t="inlineStr">
        <is>
          <t>B62340716</t>
        </is>
      </c>
      <c r="E24" s="15" t="n">
        <v>3</v>
      </c>
      <c r="F24" s="15" t="n">
        <v>10</v>
      </c>
      <c r="G24" s="16" t="n">
        <v>661.4</v>
      </c>
      <c r="H24" s="16" t="n">
        <v>661.4</v>
      </c>
      <c r="I24" s="14" t="n">
        <v>2020</v>
      </c>
      <c r="J24" s="14" t="n">
        <v>2021</v>
      </c>
      <c r="K24" s="14" t="inlineStr"/>
      <c r="L24" s="14" t="inlineStr">
        <is>
          <t>DECIDIR</t>
        </is>
      </c>
      <c r="M24" s="13" t="inlineStr">
        <is>
          <t>ES sin tax explicito: ¿olvido 21% o Art.20?</t>
        </is>
      </c>
      <c r="N24" s="17" t="inlineStr"/>
      <c r="O24" s="13" t="inlineStr"/>
      <c r="P24" s="13" t="inlineStr">
        <is>
          <t>COMPRAS SERVICIOS TIPO EXENTO | COMPRAS BIENES TIPO EXENTO</t>
        </is>
      </c>
      <c r="Q24" s="13" t="inlineStr">
        <is>
          <t>3200029 (-39.89€) | 3200016 (350€)</t>
        </is>
      </c>
    </row>
    <row r="25">
      <c r="A25" s="12" t="inlineStr">
        <is>
          <t>ES</t>
        </is>
      </c>
      <c r="B25" s="13" t="inlineStr">
        <is>
          <t>J. ISERN PATENTES Y MARCAS S.L.</t>
        </is>
      </c>
      <c r="C25" s="14" t="inlineStr">
        <is>
          <t>ES</t>
        </is>
      </c>
      <c r="D25" s="13" t="inlineStr">
        <is>
          <t>B62748827</t>
        </is>
      </c>
      <c r="E25" s="15" t="n">
        <v>2</v>
      </c>
      <c r="F25" s="15" t="n">
        <v>2</v>
      </c>
      <c r="G25" s="16" t="n">
        <v>587.12</v>
      </c>
      <c r="H25" s="16" t="n">
        <v>2728.82</v>
      </c>
      <c r="I25" s="14" t="n">
        <v>2022</v>
      </c>
      <c r="J25" s="14" t="n">
        <v>2022</v>
      </c>
      <c r="K25" s="14" t="n">
        <v>95</v>
      </c>
      <c r="L25" s="14" t="inlineStr">
        <is>
          <t>0% EXEMPT</t>
        </is>
      </c>
      <c r="M25" s="13" t="inlineStr">
        <is>
          <t>Servicios juridicos/notariales Art.20</t>
        </is>
      </c>
      <c r="N25" s="17" t="inlineStr"/>
      <c r="O25" s="13" t="inlineStr"/>
      <c r="P25" s="13" t="inlineStr">
        <is>
          <t>Isern (Mayo)</t>
        </is>
      </c>
      <c r="Q25" s="13" t="inlineStr">
        <is>
          <t>B10168 (1364.4099999999999€) | B10179 (1364.4099999999999€)</t>
        </is>
      </c>
    </row>
    <row r="26">
      <c r="A26" s="12" t="inlineStr">
        <is>
          <t>ES</t>
        </is>
      </c>
      <c r="B26" s="13" t="inlineStr">
        <is>
          <t>CAIXABANK S.A.</t>
        </is>
      </c>
      <c r="C26" s="14" t="inlineStr">
        <is>
          <t>ES</t>
        </is>
      </c>
      <c r="D26" s="13" t="inlineStr">
        <is>
          <t>A08663619</t>
        </is>
      </c>
      <c r="E26" s="15" t="n">
        <v>5</v>
      </c>
      <c r="F26" s="15" t="n">
        <v>5</v>
      </c>
      <c r="G26" s="16" t="n">
        <v>407.5</v>
      </c>
      <c r="H26" s="16" t="n">
        <v>718.1900000000001</v>
      </c>
      <c r="I26" s="14" t="n">
        <v>2018</v>
      </c>
      <c r="J26" s="14" t="n">
        <v>2018</v>
      </c>
      <c r="K26" s="14" t="n">
        <v>95</v>
      </c>
      <c r="L26" s="14" t="inlineStr">
        <is>
          <t>0% EXEMPT</t>
        </is>
      </c>
      <c r="M26" s="13" t="inlineStr">
        <is>
          <t>Servicios financieros Art.20</t>
        </is>
      </c>
      <c r="N26" s="17" t="inlineStr"/>
      <c r="O26" s="13" t="inlineStr"/>
      <c r="P26" s="13" t="inlineStr">
        <is>
          <t>COMPRAS SERVICIOS TIPO EXENTO</t>
        </is>
      </c>
      <c r="Q26" s="13" t="inlineStr">
        <is>
          <t>26022018 (82.96€) | 19022018 (280.11€)</t>
        </is>
      </c>
    </row>
    <row r="27">
      <c r="A27" s="12" t="inlineStr">
        <is>
          <t>ES</t>
        </is>
      </c>
      <c r="B27" s="13" t="inlineStr">
        <is>
          <t>JOSEP M. BORT CALDES</t>
        </is>
      </c>
      <c r="C27" s="14" t="inlineStr">
        <is>
          <t>ES</t>
        </is>
      </c>
      <c r="D27" s="13" t="inlineStr">
        <is>
          <t>46623250L</t>
        </is>
      </c>
      <c r="E27" s="15" t="n">
        <v>1</v>
      </c>
      <c r="F27" s="15" t="n">
        <v>1</v>
      </c>
      <c r="G27" s="16" t="n">
        <v>270</v>
      </c>
      <c r="H27" s="16" t="n">
        <v>886.6799999999999</v>
      </c>
      <c r="I27" s="14" t="n">
        <v>2019</v>
      </c>
      <c r="J27" s="14" t="n">
        <v>2019</v>
      </c>
      <c r="K27" s="14" t="inlineStr"/>
      <c r="L27" s="14" t="inlineStr">
        <is>
          <t>DECIDIR</t>
        </is>
      </c>
      <c r="M27" s="13" t="inlineStr">
        <is>
          <t>ES sin tax explicito: ¿olvido 21% o Art.20?</t>
        </is>
      </c>
      <c r="N27" s="17" t="inlineStr"/>
      <c r="O27" s="13" t="inlineStr"/>
      <c r="P27" s="13" t="inlineStr">
        <is>
          <t>COMPRAS SERVICIOS TIPO EXENTO</t>
        </is>
      </c>
      <c r="Q27" s="13" t="inlineStr">
        <is>
          <t>1262019 (886.68€)</t>
        </is>
      </c>
    </row>
    <row r="28">
      <c r="A28" s="12" t="inlineStr">
        <is>
          <t>ES</t>
        </is>
      </c>
      <c r="B28" s="13" t="inlineStr">
        <is>
          <t>PONS IP, S.A</t>
        </is>
      </c>
      <c r="C28" s="14" t="inlineStr">
        <is>
          <t>ES</t>
        </is>
      </c>
      <c r="D28" s="13" t="inlineStr">
        <is>
          <t>A28750891</t>
        </is>
      </c>
      <c r="E28" s="15" t="n">
        <v>3</v>
      </c>
      <c r="F28" s="15" t="n">
        <v>3</v>
      </c>
      <c r="G28" s="16" t="n">
        <v>268.35</v>
      </c>
      <c r="H28" s="16" t="n">
        <v>1609.03</v>
      </c>
      <c r="I28" s="14" t="n">
        <v>2023</v>
      </c>
      <c r="J28" s="14" t="n">
        <v>2026</v>
      </c>
      <c r="K28" s="14" t="n">
        <v>95</v>
      </c>
      <c r="L28" s="14" t="inlineStr">
        <is>
          <t>0% EXEMPT</t>
        </is>
      </c>
      <c r="M28" s="13" t="inlineStr">
        <is>
          <t>Servicios juridicos/notariales Art.20</t>
        </is>
      </c>
      <c r="N28" s="17" t="inlineStr"/>
      <c r="O28" s="13" t="inlineStr"/>
      <c r="P28" s="13" t="inlineStr">
        <is>
          <t>Pons IP | Tasas OEPM CI08 - Oposición contra marca nacional nº 4352087</t>
        </is>
      </c>
      <c r="Q28" s="13" t="inlineStr">
        <is>
          <t>FV231009705 (231.86€) | FV231003931 (900.4200000000001€)</t>
        </is>
      </c>
    </row>
    <row r="29">
      <c r="A29" s="12" t="inlineStr">
        <is>
          <t>ES</t>
        </is>
      </c>
      <c r="B29" s="13" t="inlineStr">
        <is>
          <t>SIMFONY</t>
        </is>
      </c>
      <c r="C29" s="14" t="inlineStr">
        <is>
          <t>ES</t>
        </is>
      </c>
      <c r="D29" s="13" t="inlineStr">
        <is>
          <t>FR06834643579</t>
        </is>
      </c>
      <c r="E29" s="15" t="n">
        <v>1</v>
      </c>
      <c r="F29" s="15" t="n">
        <v>1</v>
      </c>
      <c r="G29" s="16" t="n">
        <v>237</v>
      </c>
      <c r="H29" s="16" t="n">
        <v>237</v>
      </c>
      <c r="I29" s="14" t="n">
        <v>2021</v>
      </c>
      <c r="J29" s="14" t="n">
        <v>2021</v>
      </c>
      <c r="K29" s="14" t="inlineStr"/>
      <c r="L29" s="14" t="inlineStr">
        <is>
          <t>DECIDIR</t>
        </is>
      </c>
      <c r="M29" s="13" t="inlineStr">
        <is>
          <t>ES sin tax explicito: ¿olvido 21% o Art.20?</t>
        </is>
      </c>
      <c r="N29" s="17" t="inlineStr"/>
      <c r="O29" s="13" t="inlineStr"/>
      <c r="P29" s="13" t="inlineStr">
        <is>
          <t>COMPRAS SERVICIOS TIPO 21%</t>
        </is>
      </c>
      <c r="Q29" s="13" t="inlineStr">
        <is>
          <t>IN2105108 (237€)</t>
        </is>
      </c>
    </row>
    <row r="30">
      <c r="A30" s="12" t="inlineStr">
        <is>
          <t>ES</t>
        </is>
      </c>
      <c r="B30" s="13" t="inlineStr">
        <is>
          <t>AMAZON.ES COMPRA</t>
        </is>
      </c>
      <c r="C30" s="14" t="inlineStr">
        <is>
          <t>ES</t>
        </is>
      </c>
      <c r="D30" s="13" t="inlineStr">
        <is>
          <t>ESW0184081H</t>
        </is>
      </c>
      <c r="E30" s="15" t="n">
        <v>1</v>
      </c>
      <c r="F30" s="15" t="n">
        <v>1</v>
      </c>
      <c r="G30" s="16" t="n">
        <v>225</v>
      </c>
      <c r="H30" s="16" t="n">
        <v>225</v>
      </c>
      <c r="I30" s="14" t="n">
        <v>2018</v>
      </c>
      <c r="J30" s="14" t="n">
        <v>2018</v>
      </c>
      <c r="K30" s="14" t="inlineStr"/>
      <c r="L30" s="14" t="inlineStr">
        <is>
          <t>DECIDIR</t>
        </is>
      </c>
      <c r="M30" s="13" t="inlineStr">
        <is>
          <t>ES sin tax explicito: ¿olvido 21% o Art.20?</t>
        </is>
      </c>
      <c r="N30" s="17" t="inlineStr"/>
      <c r="O30" s="13" t="inlineStr"/>
      <c r="P30" s="13" t="inlineStr">
        <is>
          <t>COMPRAS SERVICIOS TIPO EXENTO</t>
        </is>
      </c>
      <c r="Q30" s="13" t="inlineStr">
        <is>
          <t>16523011 (225€)</t>
        </is>
      </c>
    </row>
    <row r="31">
      <c r="A31" s="12" t="inlineStr">
        <is>
          <t>ES</t>
        </is>
      </c>
      <c r="B31" s="13" t="inlineStr">
        <is>
          <t>KLM Royal Dutch Airlines,</t>
        </is>
      </c>
      <c r="C31" s="14" t="inlineStr">
        <is>
          <t>ES</t>
        </is>
      </c>
      <c r="D31" s="13" t="inlineStr">
        <is>
          <t>W0031001A</t>
        </is>
      </c>
      <c r="E31" s="15" t="n">
        <v>1</v>
      </c>
      <c r="F31" s="15" t="n">
        <v>1</v>
      </c>
      <c r="G31" s="16" t="n">
        <v>215.95</v>
      </c>
      <c r="H31" s="16" t="n">
        <v>215.95</v>
      </c>
      <c r="I31" s="14" t="n">
        <v>2024</v>
      </c>
      <c r="J31" s="14" t="n">
        <v>2024</v>
      </c>
      <c r="K31" s="14" t="inlineStr"/>
      <c r="L31" s="14" t="inlineStr">
        <is>
          <t>REVISAR</t>
        </is>
      </c>
      <c r="M31" s="13" t="inlineStr">
        <is>
          <t>Transporte: a veces lleva IVA 10%</t>
        </is>
      </c>
      <c r="N31" s="17" t="inlineStr"/>
      <c r="O31" s="13" t="inlineStr"/>
      <c r="P31" s="13" t="inlineStr">
        <is>
          <t>KLM</t>
        </is>
      </c>
      <c r="Q31" s="13" t="inlineStr">
        <is>
          <t>KLES0021922444  (215.95€)</t>
        </is>
      </c>
    </row>
    <row r="32">
      <c r="A32" s="12" t="inlineStr">
        <is>
          <t>ES</t>
        </is>
      </c>
      <c r="B32" s="13" t="inlineStr">
        <is>
          <t>AIR EUROPA LINEAS AEREAS SAU</t>
        </is>
      </c>
      <c r="C32" s="14" t="inlineStr">
        <is>
          <t>ES</t>
        </is>
      </c>
      <c r="D32" s="13" t="inlineStr">
        <is>
          <t>A07129430</t>
        </is>
      </c>
      <c r="E32" s="15" t="n">
        <v>2</v>
      </c>
      <c r="F32" s="15" t="n">
        <v>2</v>
      </c>
      <c r="G32" s="16" t="n">
        <v>187.43</v>
      </c>
      <c r="H32" s="16" t="n">
        <v>188.65</v>
      </c>
      <c r="I32" s="14" t="n">
        <v>2018</v>
      </c>
      <c r="J32" s="14" t="n">
        <v>2019</v>
      </c>
      <c r="K32" s="14" t="inlineStr"/>
      <c r="L32" s="14" t="inlineStr">
        <is>
          <t>REVISAR</t>
        </is>
      </c>
      <c r="M32" s="13" t="inlineStr">
        <is>
          <t>Transporte: a veces lleva IVA 10%</t>
        </is>
      </c>
      <c r="N32" s="17" t="inlineStr"/>
      <c r="O32" s="13" t="inlineStr"/>
      <c r="P32" s="13" t="inlineStr">
        <is>
          <t>COMPRAS SERVICIOS TIPO EXENTO</t>
        </is>
      </c>
      <c r="Q32" s="13" t="inlineStr">
        <is>
          <t>FF223625 (93.65€) | FF470952 (95€)</t>
        </is>
      </c>
    </row>
    <row r="33">
      <c r="A33" s="12" t="inlineStr">
        <is>
          <t>ES</t>
        </is>
      </c>
      <c r="B33" s="13" t="inlineStr">
        <is>
          <t>RYANAIR LTED.</t>
        </is>
      </c>
      <c r="C33" s="14" t="inlineStr">
        <is>
          <t>ES</t>
        </is>
      </c>
      <c r="D33" s="13" t="inlineStr">
        <is>
          <t>W0071513F</t>
        </is>
      </c>
      <c r="E33" s="15" t="n">
        <v>6</v>
      </c>
      <c r="F33" s="15" t="n">
        <v>6</v>
      </c>
      <c r="G33" s="16" t="n">
        <v>184.97</v>
      </c>
      <c r="H33" s="16" t="n">
        <v>275.81</v>
      </c>
      <c r="I33" s="14" t="n">
        <v>2018</v>
      </c>
      <c r="J33" s="14" t="n">
        <v>2024</v>
      </c>
      <c r="K33" s="14" t="inlineStr"/>
      <c r="L33" s="14" t="inlineStr">
        <is>
          <t>REVISAR</t>
        </is>
      </c>
      <c r="M33" s="13" t="inlineStr">
        <is>
          <t>Transporte: a veces lleva IVA 10%</t>
        </is>
      </c>
      <c r="N33" s="17" t="inlineStr"/>
      <c r="O33" s="13" t="inlineStr"/>
      <c r="P33" s="13" t="inlineStr">
        <is>
          <t>COMPRAS SERVICIOS TIPO EXENTO | Ryanair (Geraldine Garcia) | Vueling (Geraldine Garcia)</t>
        </is>
      </c>
      <c r="Q33" s="13" t="inlineStr">
        <is>
          <t>1008689365 (7€) | 1008689408 (7€)</t>
        </is>
      </c>
    </row>
    <row r="34">
      <c r="A34" s="12" t="inlineStr">
        <is>
          <t>ES</t>
        </is>
      </c>
      <c r="B34" s="13" t="inlineStr">
        <is>
          <t>SARA BRAVO DE SOTO (FANTASTICA BUHARDILLA)</t>
        </is>
      </c>
      <c r="C34" s="14" t="inlineStr">
        <is>
          <t>ES</t>
        </is>
      </c>
      <c r="D34" s="13" t="inlineStr">
        <is>
          <t>17749926K</t>
        </is>
      </c>
      <c r="E34" s="15" t="n">
        <v>1</v>
      </c>
      <c r="F34" s="15" t="n">
        <v>1</v>
      </c>
      <c r="G34" s="16" t="n">
        <v>162.46</v>
      </c>
      <c r="H34" s="16" t="n">
        <v>162.46</v>
      </c>
      <c r="I34" s="14" t="n">
        <v>2023</v>
      </c>
      <c r="J34" s="14" t="n">
        <v>2023</v>
      </c>
      <c r="K34" s="14" t="inlineStr"/>
      <c r="L34" s="14" t="inlineStr">
        <is>
          <t>DECIDIR</t>
        </is>
      </c>
      <c r="M34" s="13" t="inlineStr">
        <is>
          <t>ES sin tax explicito: ¿olvido 21% o Art.20?</t>
        </is>
      </c>
      <c r="N34" s="17" t="inlineStr"/>
      <c r="O34" s="13" t="inlineStr"/>
      <c r="P34" s="13" t="inlineStr">
        <is>
          <t>FANTASTICA BUHARDILLA (SARA BRAVO)</t>
        </is>
      </c>
      <c r="Q34" s="13" t="inlineStr">
        <is>
          <t>2023103 (162.46€)</t>
        </is>
      </c>
    </row>
    <row r="35">
      <c r="A35" s="12" t="inlineStr">
        <is>
          <t>ES</t>
        </is>
      </c>
      <c r="B35" s="13" t="inlineStr">
        <is>
          <t>PRINTCARRIER.COM GMBH</t>
        </is>
      </c>
      <c r="C35" s="14" t="inlineStr">
        <is>
          <t>ES</t>
        </is>
      </c>
      <c r="D35" s="13" t="inlineStr">
        <is>
          <t>DE815758704</t>
        </is>
      </c>
      <c r="E35" s="15" t="n">
        <v>2</v>
      </c>
      <c r="F35" s="15" t="n">
        <v>2</v>
      </c>
      <c r="G35" s="16" t="n">
        <v>112.66</v>
      </c>
      <c r="H35" s="16" t="n">
        <v>112.66</v>
      </c>
      <c r="I35" s="14" t="n">
        <v>2021</v>
      </c>
      <c r="J35" s="14" t="n">
        <v>2021</v>
      </c>
      <c r="K35" s="14" t="inlineStr"/>
      <c r="L35" s="14" t="inlineStr">
        <is>
          <t>DECIDIR</t>
        </is>
      </c>
      <c r="M35" s="13" t="inlineStr">
        <is>
          <t>ES sin tax explicito: ¿olvido 21% o Art.20?</t>
        </is>
      </c>
      <c r="N35" s="17" t="inlineStr"/>
      <c r="O35" s="13" t="inlineStr"/>
      <c r="P35" s="13" t="inlineStr">
        <is>
          <t>COMPRAS SERVICIOS TIPO 21%</t>
        </is>
      </c>
      <c r="Q35" s="13" t="inlineStr">
        <is>
          <t>ED00000085 (56.33€) | ED00000086 (56.33€)</t>
        </is>
      </c>
    </row>
    <row r="36">
      <c r="A36" s="12" t="inlineStr">
        <is>
          <t>ES</t>
        </is>
      </c>
      <c r="B36" s="13" t="inlineStr">
        <is>
          <t>BOLETIN OFICIAL DEL ESTADO</t>
        </is>
      </c>
      <c r="C36" s="14" t="inlineStr">
        <is>
          <t>ES</t>
        </is>
      </c>
      <c r="D36" s="13" t="inlineStr">
        <is>
          <t>Q2811001C</t>
        </is>
      </c>
      <c r="E36" s="15" t="n">
        <v>2</v>
      </c>
      <c r="F36" s="15" t="n">
        <v>2</v>
      </c>
      <c r="G36" s="16" t="n">
        <v>86.38</v>
      </c>
      <c r="H36" s="16" t="n">
        <v>86.38</v>
      </c>
      <c r="I36" s="14" t="n">
        <v>2020</v>
      </c>
      <c r="J36" s="14" t="n">
        <v>2021</v>
      </c>
      <c r="K36" s="14" t="n">
        <v>95</v>
      </c>
      <c r="L36" s="14" t="inlineStr">
        <is>
          <t>0% EXEMPT</t>
        </is>
      </c>
      <c r="M36" s="13" t="inlineStr">
        <is>
          <t>Admin publica - no sujeto</t>
        </is>
      </c>
      <c r="N36" s="17" t="inlineStr"/>
      <c r="O36" s="13" t="inlineStr"/>
      <c r="P36" s="13" t="inlineStr">
        <is>
          <t>COMPRAS BIENES TIPO EXENTO | COMPRAS SERVICIOS TIPO EXENTO</t>
        </is>
      </c>
      <c r="Q36" s="13" t="inlineStr">
        <is>
          <t>B40535659 (57.94€) | B41563035 (28.44€)</t>
        </is>
      </c>
    </row>
    <row r="37">
      <c r="A37" s="12" t="inlineStr">
        <is>
          <t>ES</t>
        </is>
      </c>
      <c r="B37" s="13" t="inlineStr">
        <is>
          <t>RHENUS LOGISTICS S.A.U.</t>
        </is>
      </c>
      <c r="C37" s="14" t="inlineStr">
        <is>
          <t>ES</t>
        </is>
      </c>
      <c r="D37" s="13" t="inlineStr">
        <is>
          <t>A08211989</t>
        </is>
      </c>
      <c r="E37" s="15" t="n">
        <v>13</v>
      </c>
      <c r="F37" s="15" t="n">
        <v>13</v>
      </c>
      <c r="G37" s="16" t="n">
        <v>75.16</v>
      </c>
      <c r="H37" s="16" t="n">
        <v>75.16</v>
      </c>
      <c r="I37" s="14" t="n">
        <v>2019</v>
      </c>
      <c r="J37" s="14" t="n">
        <v>2021</v>
      </c>
      <c r="K37" s="14" t="inlineStr"/>
      <c r="L37" s="14" t="inlineStr">
        <is>
          <t>DECIDIR</t>
        </is>
      </c>
      <c r="M37" s="13" t="inlineStr">
        <is>
          <t>ES sin tax explicito: ¿olvido 21% o Art.20?</t>
        </is>
      </c>
      <c r="N37" s="17" t="inlineStr"/>
      <c r="O37" s="13" t="inlineStr"/>
      <c r="P37" s="13" t="inlineStr">
        <is>
          <t>COMPRAS SERVICIOS TIPO EXENTO</t>
        </is>
      </c>
      <c r="Q37" s="13" t="inlineStr">
        <is>
          <t>040324559 (-23.74€) | 0401371396 (23.74€)</t>
        </is>
      </c>
    </row>
    <row r="38">
      <c r="A38" s="12" t="inlineStr">
        <is>
          <t>ES</t>
        </is>
      </c>
      <c r="B38" s="13" t="inlineStr">
        <is>
          <t>SOCIEDAD ESTATAL CORREOS Y TELEGRAFOS S.A.</t>
        </is>
      </c>
      <c r="C38" s="14" t="inlineStr">
        <is>
          <t>ES</t>
        </is>
      </c>
      <c r="D38" s="13" t="inlineStr">
        <is>
          <t>A83052407</t>
        </is>
      </c>
      <c r="E38" s="15" t="n">
        <v>10</v>
      </c>
      <c r="F38" s="15" t="n">
        <v>10</v>
      </c>
      <c r="G38" s="16" t="n">
        <v>66.08</v>
      </c>
      <c r="H38" s="16" t="n">
        <v>68.06</v>
      </c>
      <c r="I38" s="14" t="n">
        <v>2018</v>
      </c>
      <c r="J38" s="14" t="n">
        <v>2018</v>
      </c>
      <c r="K38" s="14" t="inlineStr"/>
      <c r="L38" s="14" t="inlineStr">
        <is>
          <t>DECIDIR</t>
        </is>
      </c>
      <c r="M38" s="13" t="inlineStr">
        <is>
          <t>ES sin tax explicito: ¿olvido 21% o Art.20?</t>
        </is>
      </c>
      <c r="N38" s="17" t="inlineStr"/>
      <c r="O38" s="13" t="inlineStr"/>
      <c r="P38" s="13" t="inlineStr">
        <is>
          <t>COMPRAS SERVICIOS TIPO EXENTO</t>
        </is>
      </c>
      <c r="Q38" s="13" t="inlineStr">
        <is>
          <t>5000010 (4.4€) | 5F00001 (22€)</t>
        </is>
      </c>
    </row>
    <row r="39">
      <c r="A39" s="12" t="inlineStr">
        <is>
          <t>ES</t>
        </is>
      </c>
      <c r="B39" s="13" t="inlineStr">
        <is>
          <t>RENFE OPERADORA</t>
        </is>
      </c>
      <c r="C39" s="14" t="inlineStr">
        <is>
          <t>ES</t>
        </is>
      </c>
      <c r="D39" s="13" t="inlineStr">
        <is>
          <t>Q2801659J</t>
        </is>
      </c>
      <c r="E39" s="15" t="n">
        <v>7</v>
      </c>
      <c r="F39" s="15" t="n">
        <v>7</v>
      </c>
      <c r="G39" s="16" t="n">
        <v>43.95</v>
      </c>
      <c r="H39" s="16" t="n">
        <v>-186.89</v>
      </c>
      <c r="I39" s="14" t="n">
        <v>2018</v>
      </c>
      <c r="J39" s="14" t="n">
        <v>2020</v>
      </c>
      <c r="K39" s="14" t="inlineStr"/>
      <c r="L39" s="14" t="inlineStr">
        <is>
          <t>REVISAR</t>
        </is>
      </c>
      <c r="M39" s="13" t="inlineStr">
        <is>
          <t>Transporte: a veces lleva IVA 10%</t>
        </is>
      </c>
      <c r="N39" s="17" t="inlineStr"/>
      <c r="O39" s="13" t="inlineStr"/>
      <c r="P39" s="13" t="inlineStr">
        <is>
          <t>COMPRAS SERVICIOS TIPO EXENTO | COMPRAS BIENES TIPO EXENTO</t>
        </is>
      </c>
      <c r="Q39" s="13" t="inlineStr">
        <is>
          <t>VR550675 (-124.19€) | 687770 (-38.4€)</t>
        </is>
      </c>
    </row>
    <row r="40">
      <c r="A40" s="12" t="inlineStr">
        <is>
          <t>ES</t>
        </is>
      </c>
      <c r="B40" s="13" t="inlineStr">
        <is>
          <t>RENFE VIAJEROS S.M.E., S.A</t>
        </is>
      </c>
      <c r="C40" s="14" t="inlineStr">
        <is>
          <t>ES</t>
        </is>
      </c>
      <c r="D40" s="13" t="inlineStr">
        <is>
          <t>A86868189</t>
        </is>
      </c>
      <c r="E40" s="15" t="n">
        <v>9</v>
      </c>
      <c r="F40" s="15" t="n">
        <v>9</v>
      </c>
      <c r="G40" s="16" t="n">
        <v>26.6</v>
      </c>
      <c r="H40" s="16" t="n">
        <v>279.8</v>
      </c>
      <c r="I40" s="14" t="n">
        <v>2021</v>
      </c>
      <c r="J40" s="14" t="n">
        <v>2024</v>
      </c>
      <c r="K40" s="14" t="inlineStr"/>
      <c r="L40" s="14" t="inlineStr">
        <is>
          <t>REVISAR</t>
        </is>
      </c>
      <c r="M40" s="13" t="inlineStr">
        <is>
          <t>Transporte: a veces lleva IVA 10%</t>
        </is>
      </c>
      <c r="N40" s="17" t="inlineStr"/>
      <c r="O40" s="13" t="inlineStr"/>
      <c r="P40" s="13" t="inlineStr">
        <is>
          <t>Renfe (Carles Sebastian) | Renfe Viajeros | Renfe (Juan Tramullas)</t>
        </is>
      </c>
      <c r="Q40" s="13" t="inlineStr">
        <is>
          <t>VR00000000960256 (-25.5€) | VJ00000014549802 (20.95€)</t>
        </is>
      </c>
    </row>
    <row r="41">
      <c r="A41" s="12" t="inlineStr">
        <is>
          <t>ES</t>
        </is>
      </c>
      <c r="B41" s="13" t="inlineStr">
        <is>
          <t>MENSAT S.L.</t>
        </is>
      </c>
      <c r="C41" s="14" t="inlineStr">
        <is>
          <t>ES</t>
        </is>
      </c>
      <c r="D41" s="13" t="inlineStr">
        <is>
          <t>B60032869</t>
        </is>
      </c>
      <c r="E41" s="15" t="n">
        <v>1</v>
      </c>
      <c r="F41" s="15" t="n">
        <v>1</v>
      </c>
      <c r="G41" s="16" t="n">
        <v>19.9</v>
      </c>
      <c r="H41" s="16" t="n">
        <v>129.8</v>
      </c>
      <c r="I41" s="14" t="n">
        <v>2019</v>
      </c>
      <c r="J41" s="14" t="n">
        <v>2019</v>
      </c>
      <c r="K41" s="14" t="inlineStr"/>
      <c r="L41" s="14" t="inlineStr">
        <is>
          <t>DECIDIR</t>
        </is>
      </c>
      <c r="M41" s="13" t="inlineStr">
        <is>
          <t>ES sin tax explicito: ¿olvido 21% o Art.20?</t>
        </is>
      </c>
      <c r="N41" s="17" t="inlineStr"/>
      <c r="O41" s="13" t="inlineStr"/>
      <c r="P41" s="13" t="inlineStr">
        <is>
          <t>COMPRAS SERVICIOS TIPO EXENTO</t>
        </is>
      </c>
      <c r="Q41" s="13" t="inlineStr">
        <is>
          <t>A75725 (129.8€)</t>
        </is>
      </c>
    </row>
    <row r="42">
      <c r="A42" s="12" t="inlineStr">
        <is>
          <t>ES</t>
        </is>
      </c>
      <c r="B42" s="13" t="inlineStr">
        <is>
          <t>NOTARÍA CUZCO 3 C.B</t>
        </is>
      </c>
      <c r="C42" s="14" t="inlineStr">
        <is>
          <t>ES</t>
        </is>
      </c>
      <c r="D42" s="13" t="inlineStr">
        <is>
          <t>E01747294</t>
        </is>
      </c>
      <c r="E42" s="15" t="n">
        <v>2</v>
      </c>
      <c r="F42" s="15" t="n">
        <v>2</v>
      </c>
      <c r="G42" s="16" t="n">
        <v>17.04</v>
      </c>
      <c r="H42" s="16" t="n">
        <v>434.12</v>
      </c>
      <c r="I42" s="14" t="n">
        <v>2021</v>
      </c>
      <c r="J42" s="14" t="n">
        <v>2021</v>
      </c>
      <c r="K42" s="14" t="inlineStr"/>
      <c r="L42" s="14" t="inlineStr">
        <is>
          <t>DECIDIR</t>
        </is>
      </c>
      <c r="M42" s="13" t="inlineStr">
        <is>
          <t>ES sin tax explicito: ¿olvido 21% o Art.20?</t>
        </is>
      </c>
      <c r="N42" s="17" t="inlineStr"/>
      <c r="O42" s="13" t="inlineStr"/>
      <c r="P42" s="13" t="inlineStr">
        <is>
          <t>COMPRAS SERVICIOS TIPO EXENTO</t>
        </is>
      </c>
      <c r="Q42" s="13" t="inlineStr">
        <is>
          <t>O04150 (359.64€) | O04151 (74.48€)</t>
        </is>
      </c>
    </row>
    <row r="43">
      <c r="A43" s="12" t="inlineStr">
        <is>
          <t>ES</t>
        </is>
      </c>
      <c r="B43" s="13" t="inlineStr">
        <is>
          <t>DIEZ ARRANZ, ANA</t>
        </is>
      </c>
      <c r="C43" s="14" t="inlineStr">
        <is>
          <t>ES</t>
        </is>
      </c>
      <c r="D43" s="13" t="inlineStr">
        <is>
          <t>13102882N</t>
        </is>
      </c>
      <c r="E43" s="15" t="n">
        <v>2</v>
      </c>
      <c r="F43" s="15" t="n">
        <v>2</v>
      </c>
      <c r="G43" s="16" t="n">
        <v>12.62</v>
      </c>
      <c r="H43" s="16" t="n">
        <v>1242.04</v>
      </c>
      <c r="I43" s="14" t="n">
        <v>2021</v>
      </c>
      <c r="J43" s="14" t="n">
        <v>2023</v>
      </c>
      <c r="K43" s="14" t="inlineStr"/>
      <c r="L43" s="14" t="inlineStr">
        <is>
          <t>DECIDIR</t>
        </is>
      </c>
      <c r="M43" s="13" t="inlineStr">
        <is>
          <t>ES sin tax explicito: ¿olvido 21% o Art.20?</t>
        </is>
      </c>
      <c r="N43" s="17" t="inlineStr"/>
      <c r="O43" s="13" t="inlineStr"/>
      <c r="P43" s="13" t="inlineStr">
        <is>
          <t>COMPRAS SERVICIOS TIPO 0% | Notario Diez Arranz</t>
        </is>
      </c>
      <c r="Q43" s="13" t="inlineStr">
        <is>
          <t>A0001458 (199.42000000000002€) | A0001265 (1042.62€)</t>
        </is>
      </c>
    </row>
    <row r="44">
      <c r="A44" s="12" t="inlineStr">
        <is>
          <t>ES</t>
        </is>
      </c>
      <c r="B44" s="13" t="inlineStr">
        <is>
          <t>BANCO DE SANTANDER S.A.</t>
        </is>
      </c>
      <c r="C44" s="14" t="inlineStr">
        <is>
          <t>ES</t>
        </is>
      </c>
      <c r="D44" s="13" t="inlineStr">
        <is>
          <t>A39000013</t>
        </is>
      </c>
      <c r="E44" s="15" t="n">
        <v>5</v>
      </c>
      <c r="F44" s="15" t="n">
        <v>5</v>
      </c>
      <c r="G44" s="16" t="n">
        <v>3.5</v>
      </c>
      <c r="H44" s="16" t="n">
        <v>10.4</v>
      </c>
      <c r="I44" s="14" t="n">
        <v>2021</v>
      </c>
      <c r="J44" s="14" t="n">
        <v>2021</v>
      </c>
      <c r="K44" s="14" t="n">
        <v>95</v>
      </c>
      <c r="L44" s="14" t="inlineStr">
        <is>
          <t>0% EXEMPT</t>
        </is>
      </c>
      <c r="M44" s="13" t="inlineStr">
        <is>
          <t>Servicios financieros Art.20</t>
        </is>
      </c>
      <c r="N44" s="17" t="inlineStr"/>
      <c r="O44" s="13" t="inlineStr"/>
      <c r="P44" s="13" t="inlineStr">
        <is>
          <t>COMPRAS SERVICIOS TIPO EXENTO</t>
        </is>
      </c>
      <c r="Q44" s="13" t="inlineStr">
        <is>
          <t>F2021216XBBBBBV (3.2399999999999998€) | F2021181RBBBBRN (1.79€)</t>
        </is>
      </c>
    </row>
    <row r="45">
      <c r="A45" s="12" t="inlineStr">
        <is>
          <t>ES</t>
        </is>
      </c>
      <c r="B45" s="13" t="inlineStr">
        <is>
          <t>NOTARIA DIAGONAL 550 SCP</t>
        </is>
      </c>
      <c r="C45" s="14" t="inlineStr">
        <is>
          <t>ES</t>
        </is>
      </c>
      <c r="D45" s="13" t="inlineStr">
        <is>
          <t>J66181579</t>
        </is>
      </c>
      <c r="E45" s="15" t="n">
        <v>1</v>
      </c>
      <c r="F45" s="15" t="n">
        <v>1</v>
      </c>
      <c r="G45" s="16" t="n">
        <v>2.4</v>
      </c>
      <c r="H45" s="16" t="n">
        <v>84.56999999999999</v>
      </c>
      <c r="I45" s="14" t="n">
        <v>2021</v>
      </c>
      <c r="J45" s="14" t="n">
        <v>2021</v>
      </c>
      <c r="K45" s="14" t="n">
        <v>95</v>
      </c>
      <c r="L45" s="14" t="inlineStr">
        <is>
          <t>0% EXEMPT</t>
        </is>
      </c>
      <c r="M45" s="13" t="inlineStr">
        <is>
          <t>Servicios juridicos/notariales Art.20</t>
        </is>
      </c>
      <c r="N45" s="17" t="inlineStr"/>
      <c r="O45" s="13" t="inlineStr"/>
      <c r="P45" s="13" t="inlineStr">
        <is>
          <t>COMPRAS SERVICIOS TIPO EXENTO</t>
        </is>
      </c>
      <c r="Q45" s="13" t="inlineStr">
        <is>
          <t>A4001475 (84.57000000000001€)</t>
        </is>
      </c>
    </row>
    <row r="46">
      <c r="A46" s="18" t="inlineStr">
        <is>
          <t>UE_NO_ES</t>
        </is>
      </c>
      <c r="B46" s="13" t="inlineStr">
        <is>
          <t>GOOGLE IRELAND LIMITED</t>
        </is>
      </c>
      <c r="C46" s="14" t="inlineStr">
        <is>
          <t>IE</t>
        </is>
      </c>
      <c r="D46" s="13" t="inlineStr">
        <is>
          <t>IE6388047V</t>
        </is>
      </c>
      <c r="E46" s="15" t="n">
        <v>100</v>
      </c>
      <c r="F46" s="15" t="n">
        <v>100</v>
      </c>
      <c r="G46" s="16" t="n">
        <v>95670.12</v>
      </c>
      <c r="H46" s="16" t="n">
        <v>95670.12</v>
      </c>
      <c r="I46" s="14" t="n">
        <v>2018</v>
      </c>
      <c r="J46" s="14" t="n">
        <v>2021</v>
      </c>
      <c r="K46" s="14" t="n">
        <v>112</v>
      </c>
      <c r="L46" s="14" t="inlineStr">
        <is>
          <t>21% RC</t>
        </is>
      </c>
      <c r="M46" s="13" t="inlineStr">
        <is>
          <t>Intracom UE B2B servicios</t>
        </is>
      </c>
      <c r="N46" s="17" t="inlineStr"/>
      <c r="O46" s="13" t="inlineStr"/>
      <c r="P46" s="13" t="inlineStr">
        <is>
          <t>COMPRAS SERVICIOS TIPO 21%</t>
        </is>
      </c>
      <c r="Q46" s="13" t="inlineStr">
        <is>
          <t>3533347939 (2788.18€) | 3537661771 (160€)</t>
        </is>
      </c>
    </row>
    <row r="47">
      <c r="A47" s="18" t="inlineStr">
        <is>
          <t>UE_NO_ES</t>
        </is>
      </c>
      <c r="B47" s="13" t="inlineStr">
        <is>
          <t>ADOBE SYSTEMS SOFTWARE IRELAND LTD</t>
        </is>
      </c>
      <c r="C47" s="14" t="inlineStr">
        <is>
          <t>IE</t>
        </is>
      </c>
      <c r="D47" s="13" t="inlineStr">
        <is>
          <t>IE6364992H</t>
        </is>
      </c>
      <c r="E47" s="15" t="n">
        <v>67</v>
      </c>
      <c r="F47" s="15" t="n">
        <v>67</v>
      </c>
      <c r="G47" s="16" t="n">
        <v>11703.17</v>
      </c>
      <c r="H47" s="16" t="n">
        <v>11703.17</v>
      </c>
      <c r="I47" s="14" t="n">
        <v>2018</v>
      </c>
      <c r="J47" s="14" t="n">
        <v>2021</v>
      </c>
      <c r="K47" s="14" t="n">
        <v>112</v>
      </c>
      <c r="L47" s="14" t="inlineStr">
        <is>
          <t>21% RC</t>
        </is>
      </c>
      <c r="M47" s="13" t="inlineStr">
        <is>
          <t>Intracom UE B2B servicios</t>
        </is>
      </c>
      <c r="N47" s="17" t="inlineStr"/>
      <c r="O47" s="13" t="inlineStr"/>
      <c r="P47" s="13" t="inlineStr">
        <is>
          <t>COMPRAS SERVICIOS TIPO 21%</t>
        </is>
      </c>
      <c r="Q47" s="13" t="inlineStr">
        <is>
          <t>IEE2018006000280 (279.96€) | IEE2019000004746 (9.99€)</t>
        </is>
      </c>
    </row>
    <row r="48">
      <c r="A48" s="18" t="inlineStr">
        <is>
          <t>UE_NO_ES</t>
        </is>
      </c>
      <c r="B48" s="13" t="inlineStr">
        <is>
          <t>MICROSOFT IRELAND OPERATIONS LTD</t>
        </is>
      </c>
      <c r="C48" s="14" t="inlineStr">
        <is>
          <t>IE</t>
        </is>
      </c>
      <c r="D48" s="13" t="inlineStr">
        <is>
          <t>IE8256796U</t>
        </is>
      </c>
      <c r="E48" s="15" t="n">
        <v>39</v>
      </c>
      <c r="F48" s="15" t="n">
        <v>39</v>
      </c>
      <c r="G48" s="16" t="n">
        <v>3247.84</v>
      </c>
      <c r="H48" s="16" t="n">
        <v>3247.84</v>
      </c>
      <c r="I48" s="14" t="n">
        <v>2018</v>
      </c>
      <c r="J48" s="14" t="n">
        <v>2021</v>
      </c>
      <c r="K48" s="14" t="n">
        <v>112</v>
      </c>
      <c r="L48" s="14" t="inlineStr">
        <is>
          <t>21% RC</t>
        </is>
      </c>
      <c r="M48" s="13" t="inlineStr">
        <is>
          <t>Intracom UE B2B servicios</t>
        </is>
      </c>
      <c r="N48" s="17" t="inlineStr"/>
      <c r="O48" s="13" t="inlineStr"/>
      <c r="P48" s="13" t="inlineStr">
        <is>
          <t>COMPRAS SERVICIOS TIPO 21%</t>
        </is>
      </c>
      <c r="Q48" s="13" t="inlineStr">
        <is>
          <t>E05006UIYO (70.4€) | E05006NBYA (70.4€)</t>
        </is>
      </c>
    </row>
    <row r="49">
      <c r="A49" s="18" t="inlineStr">
        <is>
          <t>UE_NO_ES</t>
        </is>
      </c>
      <c r="B49" s="13" t="inlineStr">
        <is>
          <t>CRELLO LIMITED</t>
        </is>
      </c>
      <c r="C49" s="14" t="inlineStr">
        <is>
          <t>CY</t>
        </is>
      </c>
      <c r="D49" s="13" t="inlineStr">
        <is>
          <t>CY10384877E</t>
        </is>
      </c>
      <c r="E49" s="15" t="n">
        <v>2</v>
      </c>
      <c r="F49" s="15" t="n">
        <v>2</v>
      </c>
      <c r="G49" s="16" t="n">
        <v>2762.03</v>
      </c>
      <c r="H49" s="16" t="n">
        <v>2762.03</v>
      </c>
      <c r="I49" s="14" t="n">
        <v>2021</v>
      </c>
      <c r="J49" s="14" t="n">
        <v>2021</v>
      </c>
      <c r="K49" s="14" t="n">
        <v>112</v>
      </c>
      <c r="L49" s="14" t="inlineStr">
        <is>
          <t>21% RC</t>
        </is>
      </c>
      <c r="M49" s="13" t="inlineStr">
        <is>
          <t>Intracom UE B2B servicios</t>
        </is>
      </c>
      <c r="N49" s="17" t="inlineStr"/>
      <c r="O49" s="13" t="inlineStr"/>
      <c r="P49" s="13" t="inlineStr">
        <is>
          <t>COMPRAS SERVICIOS TIPO 21%</t>
        </is>
      </c>
      <c r="Q49" s="13" t="inlineStr">
        <is>
          <t>4224 (1413.84€) | 3786 (1348.19€)</t>
        </is>
      </c>
    </row>
    <row r="50">
      <c r="A50" s="18" t="inlineStr">
        <is>
          <t>UE_NO_ES</t>
        </is>
      </c>
      <c r="B50" s="13" t="inlineStr">
        <is>
          <t>LOGMEIN INC.</t>
        </is>
      </c>
      <c r="C50" s="14" t="inlineStr">
        <is>
          <t>IE</t>
        </is>
      </c>
      <c r="D50" s="13" t="inlineStr">
        <is>
          <t>IE9834481A</t>
        </is>
      </c>
      <c r="E50" s="15" t="n">
        <v>7</v>
      </c>
      <c r="F50" s="15" t="n">
        <v>7</v>
      </c>
      <c r="G50" s="16" t="n">
        <v>2369.78</v>
      </c>
      <c r="H50" s="16" t="n">
        <v>2369.78</v>
      </c>
      <c r="I50" s="14" t="n">
        <v>2018</v>
      </c>
      <c r="J50" s="14" t="n">
        <v>2020</v>
      </c>
      <c r="K50" s="14" t="n">
        <v>112</v>
      </c>
      <c r="L50" s="14" t="inlineStr">
        <is>
          <t>21% RC</t>
        </is>
      </c>
      <c r="M50" s="13" t="inlineStr">
        <is>
          <t>Intracom UE B2B servicios</t>
        </is>
      </c>
      <c r="N50" s="17" t="inlineStr"/>
      <c r="O50" s="13" t="inlineStr"/>
      <c r="P50" s="13" t="inlineStr">
        <is>
          <t>COMPRAS SERVICIOS TIPO 21%</t>
        </is>
      </c>
      <c r="Q50" s="13" t="inlineStr">
        <is>
          <t>2765828 (386.54€) | 5841501 (35.37€)</t>
        </is>
      </c>
    </row>
    <row r="51">
      <c r="A51" s="18" t="inlineStr">
        <is>
          <t>UE_NO_ES</t>
        </is>
      </c>
      <c r="B51" s="13" t="inlineStr">
        <is>
          <t>PINGDOM AB</t>
        </is>
      </c>
      <c r="C51" s="14" t="inlineStr">
        <is>
          <t>SE</t>
        </is>
      </c>
      <c r="D51" s="13" t="inlineStr">
        <is>
          <t>SE556680747401</t>
        </is>
      </c>
      <c r="E51" s="15" t="n">
        <v>35</v>
      </c>
      <c r="F51" s="15" t="n">
        <v>36</v>
      </c>
      <c r="G51" s="16" t="n">
        <v>1748.68</v>
      </c>
      <c r="H51" s="16" t="n">
        <v>1748.68</v>
      </c>
      <c r="I51" s="14" t="n">
        <v>2018</v>
      </c>
      <c r="J51" s="14" t="n">
        <v>2020</v>
      </c>
      <c r="K51" s="14" t="n">
        <v>112</v>
      </c>
      <c r="L51" s="14" t="inlineStr">
        <is>
          <t>21% RC</t>
        </is>
      </c>
      <c r="M51" s="13" t="inlineStr">
        <is>
          <t>Intracom UE B2B servicios</t>
        </is>
      </c>
      <c r="N51" s="17" t="inlineStr"/>
      <c r="O51" s="13" t="inlineStr"/>
      <c r="P51" s="13" t="inlineStr">
        <is>
          <t>COMPRAS SERVICIOS TIPO 21%</t>
        </is>
      </c>
      <c r="Q51" s="13" t="inlineStr">
        <is>
          <t>2860707 (50.68€) | 2840061 (50.8€)</t>
        </is>
      </c>
    </row>
    <row r="52">
      <c r="A52" s="18" t="inlineStr">
        <is>
          <t>UE_NO_ES</t>
        </is>
      </c>
      <c r="B52" s="13" t="inlineStr">
        <is>
          <t>JETBRAINS SRO</t>
        </is>
      </c>
      <c r="C52" s="14" t="inlineStr">
        <is>
          <t>CZ</t>
        </is>
      </c>
      <c r="D52" s="13" t="inlineStr">
        <is>
          <t>CZ26502275</t>
        </is>
      </c>
      <c r="E52" s="15" t="n">
        <v>6</v>
      </c>
      <c r="F52" s="15" t="n">
        <v>6</v>
      </c>
      <c r="G52" s="16" t="n">
        <v>1548.15</v>
      </c>
      <c r="H52" s="16" t="n">
        <v>1548.15</v>
      </c>
      <c r="I52" s="14" t="n">
        <v>2019</v>
      </c>
      <c r="J52" s="14" t="n">
        <v>2021</v>
      </c>
      <c r="K52" s="14" t="n">
        <v>112</v>
      </c>
      <c r="L52" s="14" t="inlineStr">
        <is>
          <t>21% RC</t>
        </is>
      </c>
      <c r="M52" s="13" t="inlineStr">
        <is>
          <t>Intracom UE B2B servicios</t>
        </is>
      </c>
      <c r="N52" s="17" t="inlineStr"/>
      <c r="O52" s="13" t="inlineStr"/>
      <c r="P52" s="13" t="inlineStr">
        <is>
          <t>COMPRAS SERVICIOS TIPO 21%</t>
        </is>
      </c>
      <c r="Q52" s="13" t="inlineStr">
        <is>
          <t>4458869 (199€) | INVCZ1772174 (199€)</t>
        </is>
      </c>
    </row>
    <row r="53">
      <c r="A53" s="18" t="inlineStr">
        <is>
          <t>UE_NO_ES</t>
        </is>
      </c>
      <c r="B53" s="13" t="inlineStr">
        <is>
          <t>PRINTCARRIER.COM /WINTERHAUSEN</t>
        </is>
      </c>
      <c r="C53" s="14" t="inlineStr">
        <is>
          <t>DE</t>
        </is>
      </c>
      <c r="D53" s="13" t="inlineStr">
        <is>
          <t>DE256458550</t>
        </is>
      </c>
      <c r="E53" s="15" t="n">
        <v>15</v>
      </c>
      <c r="F53" s="15" t="n">
        <v>15</v>
      </c>
      <c r="G53" s="16" t="n">
        <v>1317.71</v>
      </c>
      <c r="H53" s="16" t="n">
        <v>1317.71</v>
      </c>
      <c r="I53" s="14" t="n">
        <v>2018</v>
      </c>
      <c r="J53" s="14" t="n">
        <v>2020</v>
      </c>
      <c r="K53" s="14" t="n">
        <v>112</v>
      </c>
      <c r="L53" s="14" t="inlineStr">
        <is>
          <t>21% RC</t>
        </is>
      </c>
      <c r="M53" s="13" t="inlineStr">
        <is>
          <t>Intracom UE B2B servicios</t>
        </is>
      </c>
      <c r="N53" s="17" t="inlineStr"/>
      <c r="O53" s="13" t="inlineStr"/>
      <c r="P53" s="13" t="inlineStr">
        <is>
          <t>COMPRAS SERVICIOS TIPO 21% | COMPRAS BIENES TIPO GEN.</t>
        </is>
      </c>
      <c r="Q53" s="13" t="inlineStr">
        <is>
          <t>ED00001005 (34.85€) | ED00001003 (48.05€)</t>
        </is>
      </c>
    </row>
    <row r="54">
      <c r="A54" s="18" t="inlineStr">
        <is>
          <t>UE_NO_ES</t>
        </is>
      </c>
      <c r="B54" s="13" t="inlineStr">
        <is>
          <t>HETZNER ONLINE AG</t>
        </is>
      </c>
      <c r="C54" s="14" t="inlineStr">
        <is>
          <t>DE</t>
        </is>
      </c>
      <c r="D54" s="13" t="inlineStr">
        <is>
          <t>DE812871812</t>
        </is>
      </c>
      <c r="E54" s="15" t="n">
        <v>23</v>
      </c>
      <c r="F54" s="15" t="n">
        <v>23</v>
      </c>
      <c r="G54" s="16" t="n">
        <v>1239.19</v>
      </c>
      <c r="H54" s="16" t="n">
        <v>1239.19</v>
      </c>
      <c r="I54" s="14" t="n">
        <v>2018</v>
      </c>
      <c r="J54" s="14" t="n">
        <v>2019</v>
      </c>
      <c r="K54" s="14" t="n">
        <v>112</v>
      </c>
      <c r="L54" s="14" t="inlineStr">
        <is>
          <t>21% RC</t>
        </is>
      </c>
      <c r="M54" s="13" t="inlineStr">
        <is>
          <t>Intracom UE B2B servicios</t>
        </is>
      </c>
      <c r="N54" s="17" t="inlineStr"/>
      <c r="O54" s="13" t="inlineStr"/>
      <c r="P54" s="13" t="inlineStr">
        <is>
          <t>COMPRAS SERVICIOS TIPO 21%</t>
        </is>
      </c>
      <c r="Q54" s="13" t="inlineStr">
        <is>
          <t>R0008937082 (42.02€) | R0008815678 (42.02€)</t>
        </is>
      </c>
    </row>
    <row r="55">
      <c r="A55" s="18" t="inlineStr">
        <is>
          <t>UE_NO_ES</t>
        </is>
      </c>
      <c r="B55" s="13" t="inlineStr">
        <is>
          <t>LASTPASS IRELAND LIMITED</t>
        </is>
      </c>
      <c r="C55" s="14" t="inlineStr">
        <is>
          <t>IE</t>
        </is>
      </c>
      <c r="D55" s="13" t="inlineStr">
        <is>
          <t>IE3727972WH</t>
        </is>
      </c>
      <c r="E55" s="15" t="n">
        <v>1</v>
      </c>
      <c r="F55" s="15" t="n">
        <v>1</v>
      </c>
      <c r="G55" s="16" t="n">
        <v>1009.43</v>
      </c>
      <c r="H55" s="16" t="n">
        <v>1009.43</v>
      </c>
      <c r="I55" s="14" t="n">
        <v>2021</v>
      </c>
      <c r="J55" s="14" t="n">
        <v>2021</v>
      </c>
      <c r="K55" s="14" t="n">
        <v>112</v>
      </c>
      <c r="L55" s="14" t="inlineStr">
        <is>
          <t>21% RC</t>
        </is>
      </c>
      <c r="M55" s="13" t="inlineStr">
        <is>
          <t>Intracom UE B2B servicios</t>
        </is>
      </c>
      <c r="N55" s="17" t="inlineStr"/>
      <c r="O55" s="13" t="inlineStr"/>
      <c r="P55" s="13" t="inlineStr">
        <is>
          <t>COMPRAS SERVICIOS TIPO 21%</t>
        </is>
      </c>
      <c r="Q55" s="13" t="inlineStr">
        <is>
          <t>INLASSYCCL7L60835730 (1009.43€)</t>
        </is>
      </c>
    </row>
    <row r="56">
      <c r="A56" s="18" t="inlineStr">
        <is>
          <t>UE_NO_ES</t>
        </is>
      </c>
      <c r="B56" s="13" t="inlineStr">
        <is>
          <t>PIXELZ EMEA GMBH</t>
        </is>
      </c>
      <c r="C56" s="14" t="inlineStr">
        <is>
          <t>DE</t>
        </is>
      </c>
      <c r="D56" s="13" t="inlineStr">
        <is>
          <t>DE283285223</t>
        </is>
      </c>
      <c r="E56" s="15" t="n">
        <v>28</v>
      </c>
      <c r="F56" s="15" t="n">
        <v>28</v>
      </c>
      <c r="G56" s="16" t="n">
        <v>704.7</v>
      </c>
      <c r="H56" s="16" t="n">
        <v>704.7</v>
      </c>
      <c r="I56" s="14" t="n">
        <v>2018</v>
      </c>
      <c r="J56" s="14" t="n">
        <v>2020</v>
      </c>
      <c r="K56" s="14" t="n">
        <v>112</v>
      </c>
      <c r="L56" s="14" t="inlineStr">
        <is>
          <t>21% RC</t>
        </is>
      </c>
      <c r="M56" s="13" t="inlineStr">
        <is>
          <t>Intracom UE B2B servicios</t>
        </is>
      </c>
      <c r="N56" s="17" t="inlineStr"/>
      <c r="O56" s="13" t="inlineStr"/>
      <c r="P56" s="13" t="inlineStr">
        <is>
          <t>COMPRAS SERVICIOS TIPO 21%</t>
        </is>
      </c>
      <c r="Q56" s="13" t="inlineStr">
        <is>
          <t>43386 (50€) | 39915 (25€)</t>
        </is>
      </c>
    </row>
    <row r="57">
      <c r="A57" s="18" t="inlineStr">
        <is>
          <t>UE_NO_ES</t>
        </is>
      </c>
      <c r="B57" s="13" t="inlineStr">
        <is>
          <t>SOLARWINDS SOFTWARE EUROPE DAC</t>
        </is>
      </c>
      <c r="C57" s="14" t="inlineStr">
        <is>
          <t>IE</t>
        </is>
      </c>
      <c r="D57" s="13" t="inlineStr">
        <is>
          <t>IE9652586C</t>
        </is>
      </c>
      <c r="E57" s="15" t="n">
        <v>12</v>
      </c>
      <c r="F57" s="15" t="n">
        <v>12</v>
      </c>
      <c r="G57" s="16" t="n">
        <v>563.4</v>
      </c>
      <c r="H57" s="16" t="n">
        <v>563.4</v>
      </c>
      <c r="I57" s="14" t="n">
        <v>2021</v>
      </c>
      <c r="J57" s="14" t="n">
        <v>2021</v>
      </c>
      <c r="K57" s="14" t="n">
        <v>112</v>
      </c>
      <c r="L57" s="14" t="inlineStr">
        <is>
          <t>21% RC</t>
        </is>
      </c>
      <c r="M57" s="13" t="inlineStr">
        <is>
          <t>Intracom UE B2B servicios</t>
        </is>
      </c>
      <c r="N57" s="17" t="inlineStr"/>
      <c r="O57" s="13" t="inlineStr"/>
      <c r="P57" s="13" t="inlineStr">
        <is>
          <t>COMPRAS SERVICIOS TIPO 21%</t>
        </is>
      </c>
      <c r="Q57" s="13" t="inlineStr">
        <is>
          <t>2266988 (46.95€) | 2239892 (46.95€)</t>
        </is>
      </c>
    </row>
    <row r="58">
      <c r="A58" s="18" t="inlineStr">
        <is>
          <t>UE_NO_ES</t>
        </is>
      </c>
      <c r="B58" s="13" t="inlineStr">
        <is>
          <t>LYNDA.COM</t>
        </is>
      </c>
      <c r="C58" s="14" t="inlineStr">
        <is>
          <t>IE</t>
        </is>
      </c>
      <c r="D58" s="13" t="inlineStr">
        <is>
          <t>IE9740425P</t>
        </is>
      </c>
      <c r="E58" s="15" t="n">
        <v>1</v>
      </c>
      <c r="F58" s="15" t="n">
        <v>1</v>
      </c>
      <c r="G58" s="16" t="n">
        <v>398.47</v>
      </c>
      <c r="H58" s="16" t="n">
        <v>398.47</v>
      </c>
      <c r="I58" s="14" t="n">
        <v>2021</v>
      </c>
      <c r="J58" s="14" t="n">
        <v>2021</v>
      </c>
      <c r="K58" s="14" t="n">
        <v>112</v>
      </c>
      <c r="L58" s="14" t="inlineStr">
        <is>
          <t>21% RC</t>
        </is>
      </c>
      <c r="M58" s="13" t="inlineStr">
        <is>
          <t>Intracom UE B2B servicios</t>
        </is>
      </c>
      <c r="N58" s="17" t="inlineStr"/>
      <c r="O58" s="13" t="inlineStr"/>
      <c r="P58" s="13" t="inlineStr">
        <is>
          <t>COMPRAS SERVICIOS TIPO 21%</t>
        </is>
      </c>
      <c r="Q58" s="13" t="inlineStr">
        <is>
          <t>6439539206 (398.47€)</t>
        </is>
      </c>
    </row>
    <row r="59">
      <c r="A59" s="18" t="inlineStr">
        <is>
          <t>UE_NO_ES</t>
        </is>
      </c>
      <c r="B59" s="13" t="inlineStr">
        <is>
          <t>CLICKMEETING SP. Z.O.O</t>
        </is>
      </c>
      <c r="C59" s="14" t="inlineStr">
        <is>
          <t>PL</t>
        </is>
      </c>
      <c r="D59" s="13" t="inlineStr">
        <is>
          <t>PL5842747535</t>
        </is>
      </c>
      <c r="E59" s="15" t="n">
        <v>9</v>
      </c>
      <c r="F59" s="15" t="n">
        <v>9</v>
      </c>
      <c r="G59" s="16" t="n">
        <v>351</v>
      </c>
      <c r="H59" s="16" t="n">
        <v>351</v>
      </c>
      <c r="I59" s="14" t="n">
        <v>2020</v>
      </c>
      <c r="J59" s="14" t="n">
        <v>2021</v>
      </c>
      <c r="K59" s="14" t="n">
        <v>112</v>
      </c>
      <c r="L59" s="14" t="inlineStr">
        <is>
          <t>21% RC</t>
        </is>
      </c>
      <c r="M59" s="13" t="inlineStr">
        <is>
          <t>Intracom UE B2B servicios</t>
        </is>
      </c>
      <c r="N59" s="17" t="inlineStr"/>
      <c r="O59" s="13" t="inlineStr"/>
      <c r="P59" s="13" t="inlineStr">
        <is>
          <t>COMPRAS SERVICIOS TIPO 21%</t>
        </is>
      </c>
      <c r="Q59" s="13" t="inlineStr">
        <is>
          <t>2020IBT52902 (39€) | 2020IBT46569 (39€)</t>
        </is>
      </c>
    </row>
    <row r="60">
      <c r="A60" s="18" t="inlineStr">
        <is>
          <t>UE_NO_ES</t>
        </is>
      </c>
      <c r="B60" s="13" t="inlineStr">
        <is>
          <t>AMAZON EU S.A.L NIEDERLASSUNG DEUTSCHLAND</t>
        </is>
      </c>
      <c r="C60" s="14" t="inlineStr">
        <is>
          <t>DE</t>
        </is>
      </c>
      <c r="D60" s="13" t="inlineStr">
        <is>
          <t>DE814584193</t>
        </is>
      </c>
      <c r="E60" s="15" t="n">
        <v>2</v>
      </c>
      <c r="F60" s="15" t="n">
        <v>2</v>
      </c>
      <c r="G60" s="16" t="n">
        <v>301.92</v>
      </c>
      <c r="H60" s="16" t="n">
        <v>301.92</v>
      </c>
      <c r="I60" s="14" t="n">
        <v>2020</v>
      </c>
      <c r="J60" s="14" t="n">
        <v>2021</v>
      </c>
      <c r="K60" s="14" t="n">
        <v>112</v>
      </c>
      <c r="L60" s="14" t="inlineStr">
        <is>
          <t>21% RC</t>
        </is>
      </c>
      <c r="M60" s="13" t="inlineStr">
        <is>
          <t>Intracom UE B2B servicios</t>
        </is>
      </c>
      <c r="N60" s="17" t="inlineStr"/>
      <c r="O60" s="13" t="inlineStr"/>
      <c r="P60" s="13" t="inlineStr">
        <is>
          <t>COMPRAS SERVICIOS TIPO 21%</t>
        </is>
      </c>
      <c r="Q60" s="13" t="inlineStr">
        <is>
          <t>AEUINVDE202064878503 (279.27€) | AEUINVDE202121185374 (22.65€)</t>
        </is>
      </c>
    </row>
    <row r="61">
      <c r="A61" s="18" t="inlineStr">
        <is>
          <t>UE_NO_ES</t>
        </is>
      </c>
      <c r="B61" s="13" t="inlineStr">
        <is>
          <t>HOTEL EXE PARIS CENTRE</t>
        </is>
      </c>
      <c r="C61" s="14" t="inlineStr">
        <is>
          <t>FR</t>
        </is>
      </c>
      <c r="D61" s="13" t="inlineStr">
        <is>
          <t>EXE PARIS</t>
        </is>
      </c>
      <c r="E61" s="15" t="n">
        <v>2</v>
      </c>
      <c r="F61" s="15" t="n">
        <v>2</v>
      </c>
      <c r="G61" s="16" t="n">
        <v>244.38</v>
      </c>
      <c r="H61" s="16" t="n">
        <v>244.38</v>
      </c>
      <c r="I61" s="14" t="n">
        <v>2019</v>
      </c>
      <c r="J61" s="14" t="n">
        <v>2019</v>
      </c>
      <c r="K61" s="14" t="n">
        <v>112</v>
      </c>
      <c r="L61" s="14" t="inlineStr">
        <is>
          <t>21% RC</t>
        </is>
      </c>
      <c r="M61" s="13" t="inlineStr">
        <is>
          <t>Intracom UE B2B servicios</t>
        </is>
      </c>
      <c r="N61" s="17" t="inlineStr"/>
      <c r="O61" s="13" t="inlineStr"/>
      <c r="P61" s="13" t="inlineStr">
        <is>
          <t>COMPRAS SERVICIOS TIPO 21%</t>
        </is>
      </c>
      <c r="Q61" s="13" t="inlineStr">
        <is>
          <t>PC9O010429 (13€) | PC9O010398 (231.38€)</t>
        </is>
      </c>
    </row>
    <row r="62">
      <c r="A62" s="18" t="inlineStr">
        <is>
          <t>UE_NO_ES</t>
        </is>
      </c>
      <c r="B62" s="13" t="inlineStr">
        <is>
          <t>DIGITAL RIVER GMBH</t>
        </is>
      </c>
      <c r="C62" s="14" t="inlineStr">
        <is>
          <t>DE</t>
        </is>
      </c>
      <c r="D62" s="13" t="inlineStr">
        <is>
          <t>DE194149069</t>
        </is>
      </c>
      <c r="E62" s="15" t="n">
        <v>1</v>
      </c>
      <c r="F62" s="15" t="n">
        <v>1</v>
      </c>
      <c r="G62" s="16" t="n">
        <v>99.5</v>
      </c>
      <c r="H62" s="16" t="n">
        <v>99.5</v>
      </c>
      <c r="I62" s="14" t="n">
        <v>2018</v>
      </c>
      <c r="J62" s="14" t="n">
        <v>2018</v>
      </c>
      <c r="K62" s="14" t="n">
        <v>112</v>
      </c>
      <c r="L62" s="14" t="inlineStr">
        <is>
          <t>21% RC</t>
        </is>
      </c>
      <c r="M62" s="13" t="inlineStr">
        <is>
          <t>Intracom UE B2B servicios</t>
        </is>
      </c>
      <c r="N62" s="17" t="inlineStr"/>
      <c r="O62" s="13" t="inlineStr"/>
      <c r="P62" s="13" t="inlineStr">
        <is>
          <t>COMPRAS SERVICIOS TIPO 21%</t>
        </is>
      </c>
      <c r="Q62" s="13" t="inlineStr">
        <is>
          <t>581872353 (99.5€)</t>
        </is>
      </c>
    </row>
    <row r="63">
      <c r="A63" s="18" t="inlineStr">
        <is>
          <t>UE_NO_ES</t>
        </is>
      </c>
      <c r="B63" s="13" t="inlineStr">
        <is>
          <t>DIGITAL DATA SOLUTIONS, B.V.</t>
        </is>
      </c>
      <c r="C63" s="14" t="inlineStr">
        <is>
          <t>NL</t>
        </is>
      </c>
      <c r="D63" s="13" t="inlineStr">
        <is>
          <t>NL860388141B01</t>
        </is>
      </c>
      <c r="E63" s="15" t="n">
        <v>11</v>
      </c>
      <c r="F63" s="15" t="n">
        <v>11</v>
      </c>
      <c r="G63" s="16" t="n">
        <v>99</v>
      </c>
      <c r="H63" s="16" t="n">
        <v>99</v>
      </c>
      <c r="I63" s="14" t="n">
        <v>2021</v>
      </c>
      <c r="J63" s="14" t="n">
        <v>2021</v>
      </c>
      <c r="K63" s="14" t="n">
        <v>112</v>
      </c>
      <c r="L63" s="14" t="inlineStr">
        <is>
          <t>21% RC</t>
        </is>
      </c>
      <c r="M63" s="13" t="inlineStr">
        <is>
          <t>Intracom UE B2B servicios</t>
        </is>
      </c>
      <c r="N63" s="17" t="inlineStr"/>
      <c r="O63" s="13" t="inlineStr"/>
      <c r="P63" s="13" t="inlineStr">
        <is>
          <t>COMPRAS SERVICIOS TIPO 21%</t>
        </is>
      </c>
      <c r="Q63" s="13" t="inlineStr">
        <is>
          <t>1FCDF2480012 (9€) | 1FCDF2480011 (9€)</t>
        </is>
      </c>
    </row>
    <row r="64">
      <c r="A64" s="18" t="inlineStr">
        <is>
          <t>UE_NO_ES</t>
        </is>
      </c>
      <c r="B64" s="13" t="inlineStr">
        <is>
          <t>USEBERRY</t>
        </is>
      </c>
      <c r="C64" s="14" t="inlineStr">
        <is>
          <t>GR</t>
        </is>
      </c>
      <c r="D64" s="13" t="inlineStr">
        <is>
          <t>EL801021580</t>
        </is>
      </c>
      <c r="E64" s="15" t="n">
        <v>2</v>
      </c>
      <c r="F64" s="15" t="n">
        <v>2</v>
      </c>
      <c r="G64" s="16" t="n">
        <v>70.56</v>
      </c>
      <c r="H64" s="16" t="n">
        <v>70.56</v>
      </c>
      <c r="I64" s="14" t="n">
        <v>2021</v>
      </c>
      <c r="J64" s="14" t="n">
        <v>2021</v>
      </c>
      <c r="K64" s="14" t="n">
        <v>112</v>
      </c>
      <c r="L64" s="14" t="inlineStr">
        <is>
          <t>21% RC</t>
        </is>
      </c>
      <c r="M64" s="13" t="inlineStr">
        <is>
          <t>Intracom UE B2B servicios</t>
        </is>
      </c>
      <c r="N64" s="17" t="inlineStr"/>
      <c r="O64" s="13" t="inlineStr"/>
      <c r="P64" s="13" t="inlineStr">
        <is>
          <t>COMPRAS SERVICIOS TIPO 21%</t>
        </is>
      </c>
      <c r="Q64" s="13" t="inlineStr">
        <is>
          <t>INV2C2382 (35.66€) | INV2C2110 (34.9€)</t>
        </is>
      </c>
    </row>
    <row r="65">
      <c r="A65" s="18" t="inlineStr">
        <is>
          <t>UE_NO_ES</t>
        </is>
      </c>
      <c r="B65" s="13" t="inlineStr">
        <is>
          <t>EGODITOR GMBH</t>
        </is>
      </c>
      <c r="C65" s="14" t="inlineStr">
        <is>
          <t>DE</t>
        </is>
      </c>
      <c r="D65" s="13" t="inlineStr">
        <is>
          <t>DE339674880</t>
        </is>
      </c>
      <c r="E65" s="15" t="n">
        <v>1</v>
      </c>
      <c r="F65" s="15" t="n">
        <v>1</v>
      </c>
      <c r="G65" s="16" t="n">
        <v>60</v>
      </c>
      <c r="H65" s="16" t="n">
        <v>60</v>
      </c>
      <c r="I65" s="14" t="n">
        <v>2021</v>
      </c>
      <c r="J65" s="14" t="n">
        <v>2021</v>
      </c>
      <c r="K65" s="14" t="n">
        <v>112</v>
      </c>
      <c r="L65" s="14" t="inlineStr">
        <is>
          <t>21% RC</t>
        </is>
      </c>
      <c r="M65" s="13" t="inlineStr">
        <is>
          <t>Intracom UE B2B servicios</t>
        </is>
      </c>
      <c r="N65" s="17" t="inlineStr"/>
      <c r="O65" s="13" t="inlineStr"/>
      <c r="P65" s="13" t="inlineStr">
        <is>
          <t>COMPRAS SERVICIOS TIPO 21%</t>
        </is>
      </c>
      <c r="Q65" s="13" t="inlineStr">
        <is>
          <t>QRCGPRO247517 (60€)</t>
        </is>
      </c>
    </row>
    <row r="66">
      <c r="A66" s="18" t="inlineStr">
        <is>
          <t>UE_NO_ES</t>
        </is>
      </c>
      <c r="B66" s="13" t="inlineStr">
        <is>
          <t>SHUTTERSTOCK NEDERLANDS BV</t>
        </is>
      </c>
      <c r="C66" s="14" t="inlineStr">
        <is>
          <t>NL</t>
        </is>
      </c>
      <c r="D66" s="13" t="inlineStr">
        <is>
          <t>NL854239510B01</t>
        </is>
      </c>
      <c r="E66" s="15" t="n">
        <v>1</v>
      </c>
      <c r="F66" s="15" t="n">
        <v>1</v>
      </c>
      <c r="G66" s="16" t="n">
        <v>59.29</v>
      </c>
      <c r="H66" s="16" t="n">
        <v>59.29</v>
      </c>
      <c r="I66" s="14" t="n">
        <v>2018</v>
      </c>
      <c r="J66" s="14" t="n">
        <v>2018</v>
      </c>
      <c r="K66" s="14" t="n">
        <v>112</v>
      </c>
      <c r="L66" s="14" t="inlineStr">
        <is>
          <t>21% RC</t>
        </is>
      </c>
      <c r="M66" s="13" t="inlineStr">
        <is>
          <t>Intracom UE B2B servicios</t>
        </is>
      </c>
      <c r="N66" s="17" t="inlineStr"/>
      <c r="O66" s="13" t="inlineStr"/>
      <c r="P66" s="13" t="inlineStr">
        <is>
          <t>COMPRAS SERVICIOS TIPO 21%</t>
        </is>
      </c>
      <c r="Q66" s="13" t="inlineStr">
        <is>
          <t>NLNL001AD12E91 (59.29€)</t>
        </is>
      </c>
    </row>
    <row r="67">
      <c r="A67" s="18" t="inlineStr">
        <is>
          <t>UE_NO_ES</t>
        </is>
      </c>
      <c r="B67" s="13" t="inlineStr">
        <is>
          <t>ABN SYSTEMS INTERNATIONAL SRL</t>
        </is>
      </c>
      <c r="C67" s="14" t="inlineStr">
        <is>
          <t>RO</t>
        </is>
      </c>
      <c r="D67" s="13" t="inlineStr">
        <is>
          <t>N0662058G</t>
        </is>
      </c>
      <c r="E67" s="15" t="n">
        <v>1</v>
      </c>
      <c r="F67" s="15" t="n">
        <v>1</v>
      </c>
      <c r="G67" s="16" t="n">
        <v>49.58</v>
      </c>
      <c r="H67" s="16" t="n">
        <v>49.58</v>
      </c>
      <c r="I67" s="14" t="n">
        <v>2019</v>
      </c>
      <c r="J67" s="14" t="n">
        <v>2019</v>
      </c>
      <c r="K67" s="14" t="n">
        <v>112</v>
      </c>
      <c r="L67" s="14" t="inlineStr">
        <is>
          <t>21% RC</t>
        </is>
      </c>
      <c r="M67" s="13" t="inlineStr">
        <is>
          <t>Intracom UE B2B servicios</t>
        </is>
      </c>
      <c r="N67" s="17" t="inlineStr"/>
      <c r="O67" s="13" t="inlineStr"/>
      <c r="P67" s="13" t="inlineStr">
        <is>
          <t>COMPRAS SERVICIOS TIPO 21%</t>
        </is>
      </c>
      <c r="Q67" s="13" t="inlineStr">
        <is>
          <t>INVES174015861201912 (49.58€)</t>
        </is>
      </c>
    </row>
    <row r="68">
      <c r="A68" s="18" t="inlineStr">
        <is>
          <t>UE_NO_ES</t>
        </is>
      </c>
      <c r="B68" s="13" t="inlineStr">
        <is>
          <t>USETIFUL</t>
        </is>
      </c>
      <c r="C68" s="14" t="inlineStr">
        <is>
          <t>EE</t>
        </is>
      </c>
      <c r="D68" s="13" t="inlineStr">
        <is>
          <t>EE102043965</t>
        </is>
      </c>
      <c r="E68" s="15" t="n">
        <v>1</v>
      </c>
      <c r="F68" s="15" t="n">
        <v>1</v>
      </c>
      <c r="G68" s="16" t="n">
        <v>29.9</v>
      </c>
      <c r="H68" s="16" t="n">
        <v>29.9</v>
      </c>
      <c r="I68" s="14" t="n">
        <v>2021</v>
      </c>
      <c r="J68" s="14" t="n">
        <v>2021</v>
      </c>
      <c r="K68" s="14" t="n">
        <v>112</v>
      </c>
      <c r="L68" s="14" t="inlineStr">
        <is>
          <t>21% RC</t>
        </is>
      </c>
      <c r="M68" s="13" t="inlineStr">
        <is>
          <t>Intracom UE B2B servicios</t>
        </is>
      </c>
      <c r="N68" s="17" t="inlineStr"/>
      <c r="O68" s="13" t="inlineStr"/>
      <c r="P68" s="13" t="inlineStr">
        <is>
          <t>COMPRAS SERVICIOS TIPO 21%</t>
        </is>
      </c>
      <c r="Q68" s="13" t="inlineStr">
        <is>
          <t>30E7419B0002 (29.9€)</t>
        </is>
      </c>
    </row>
    <row r="69">
      <c r="A69" s="18" t="inlineStr">
        <is>
          <t>UE_NO_ES</t>
        </is>
      </c>
      <c r="B69" s="13" t="inlineStr">
        <is>
          <t>SLACK TECHNOLOGIES LIMITED</t>
        </is>
      </c>
      <c r="C69" s="14" t="inlineStr">
        <is>
          <t>IE</t>
        </is>
      </c>
      <c r="D69" s="13" t="inlineStr">
        <is>
          <t>IE3336483DH</t>
        </is>
      </c>
      <c r="E69" s="15" t="n">
        <v>2</v>
      </c>
      <c r="F69" s="15" t="n">
        <v>2</v>
      </c>
      <c r="G69" s="16" t="n">
        <v>15</v>
      </c>
      <c r="H69" s="16" t="n">
        <v>15</v>
      </c>
      <c r="I69" s="14" t="n">
        <v>2021</v>
      </c>
      <c r="J69" s="14" t="n">
        <v>2021</v>
      </c>
      <c r="K69" s="14" t="n">
        <v>112</v>
      </c>
      <c r="L69" s="14" t="inlineStr">
        <is>
          <t>21% RC</t>
        </is>
      </c>
      <c r="M69" s="13" t="inlineStr">
        <is>
          <t>Intracom UE B2B servicios</t>
        </is>
      </c>
      <c r="N69" s="17" t="inlineStr"/>
      <c r="O69" s="13" t="inlineStr"/>
      <c r="P69" s="13" t="inlineStr">
        <is>
          <t>COMPRAS SERVICIOS TIPO 21%</t>
        </is>
      </c>
      <c r="Q69" s="13" t="inlineStr">
        <is>
          <t>20195018 (7.5€) | 28523069 (7.5€)</t>
        </is>
      </c>
    </row>
    <row r="70">
      <c r="A70" s="18" t="inlineStr">
        <is>
          <t>UE_NO_ES</t>
        </is>
      </c>
      <c r="B70" s="13" t="inlineStr">
        <is>
          <t>APPLE DISTRIBUTION INTERNATIONAL</t>
        </is>
      </c>
      <c r="C70" s="14" t="inlineStr">
        <is>
          <t>LU</t>
        </is>
      </c>
      <c r="D70" s="13" t="inlineStr">
        <is>
          <t>IE9700053D</t>
        </is>
      </c>
      <c r="E70" s="15" t="n">
        <v>2</v>
      </c>
      <c r="F70" s="15" t="n">
        <v>2</v>
      </c>
      <c r="G70" s="16" t="n">
        <v>13.89</v>
      </c>
      <c r="H70" s="16" t="n">
        <v>13.89</v>
      </c>
      <c r="I70" s="14" t="n">
        <v>2018</v>
      </c>
      <c r="J70" s="14" t="n">
        <v>2018</v>
      </c>
      <c r="K70" s="14" t="n">
        <v>112</v>
      </c>
      <c r="L70" s="14" t="inlineStr">
        <is>
          <t>21% RC</t>
        </is>
      </c>
      <c r="M70" s="13" t="inlineStr">
        <is>
          <t>Intracom UE B2B servicios</t>
        </is>
      </c>
      <c r="N70" s="17" t="inlineStr"/>
      <c r="O70" s="13" t="inlineStr"/>
      <c r="P70" s="13" t="inlineStr">
        <is>
          <t>COMPRAS SERVICIOS TIPO 21%</t>
        </is>
      </c>
      <c r="Q70" s="13" t="inlineStr">
        <is>
          <t>187229052365 (-1.1€) | 133221913299 (14.99€)</t>
        </is>
      </c>
    </row>
    <row r="71">
      <c r="A71" s="18" t="inlineStr">
        <is>
          <t>UE_NO_ES</t>
        </is>
      </c>
      <c r="B71" s="13" t="inlineStr">
        <is>
          <t>HTML EMAIL CHECK DAVID BEDENKNECHT</t>
        </is>
      </c>
      <c r="C71" s="14" t="inlineStr">
        <is>
          <t>DE</t>
        </is>
      </c>
      <c r="D71" s="13" t="inlineStr">
        <is>
          <t>BEDENKNECHT</t>
        </is>
      </c>
      <c r="E71" s="15" t="n">
        <v>1</v>
      </c>
      <c r="F71" s="15" t="n">
        <v>1</v>
      </c>
      <c r="G71" s="16" t="n">
        <v>13.58</v>
      </c>
      <c r="H71" s="16" t="n">
        <v>13.58</v>
      </c>
      <c r="I71" s="14" t="n">
        <v>2018</v>
      </c>
      <c r="J71" s="14" t="n">
        <v>2018</v>
      </c>
      <c r="K71" s="14" t="n">
        <v>112</v>
      </c>
      <c r="L71" s="14" t="inlineStr">
        <is>
          <t>21% RC</t>
        </is>
      </c>
      <c r="M71" s="13" t="inlineStr">
        <is>
          <t>Intracom UE B2B servicios</t>
        </is>
      </c>
      <c r="N71" s="17" t="inlineStr"/>
      <c r="O71" s="13" t="inlineStr"/>
      <c r="P71" s="13" t="inlineStr">
        <is>
          <t>COMPRAS SERVICIOS TIPO 21%</t>
        </is>
      </c>
      <c r="Q71" s="13" t="inlineStr">
        <is>
          <t>1669 (13.58€)</t>
        </is>
      </c>
    </row>
    <row r="72">
      <c r="A72" s="19" t="inlineStr">
        <is>
          <t>EXTRA_UE</t>
        </is>
      </c>
      <c r="B72" s="13" t="inlineStr">
        <is>
          <t>ZENDESK INC.</t>
        </is>
      </c>
      <c r="C72" s="14" t="inlineStr">
        <is>
          <t>US</t>
        </is>
      </c>
      <c r="D72" s="13" t="inlineStr">
        <is>
          <t>IE98452731</t>
        </is>
      </c>
      <c r="E72" s="15" t="n">
        <v>112</v>
      </c>
      <c r="F72" s="15" t="n">
        <v>112</v>
      </c>
      <c r="G72" s="16" t="n">
        <v>21758.55</v>
      </c>
      <c r="H72" s="16" t="n">
        <v>21758.55</v>
      </c>
      <c r="I72" s="14" t="n">
        <v>2018</v>
      </c>
      <c r="J72" s="14" t="n">
        <v>2021</v>
      </c>
      <c r="K72" s="14" t="n">
        <v>112</v>
      </c>
      <c r="L72" s="14" t="inlineStr">
        <is>
          <t>21% RC</t>
        </is>
      </c>
      <c r="M72" s="13" t="inlineStr">
        <is>
          <t>Extra-UE SaaS (review: posible nuevo tax)</t>
        </is>
      </c>
      <c r="N72" s="17" t="inlineStr"/>
      <c r="O72" s="13" t="inlineStr"/>
      <c r="P72" s="13" t="inlineStr">
        <is>
          <t>COMPRAS SERVICIOS TIPO 21%</t>
        </is>
      </c>
      <c r="Q72" s="13" t="inlineStr">
        <is>
          <t>INV03968485 (125€) | INV03929747 (238.35€)</t>
        </is>
      </c>
    </row>
    <row r="73">
      <c r="A73" s="19" t="inlineStr">
        <is>
          <t>EXTRA_UE</t>
        </is>
      </c>
      <c r="B73" s="13" t="inlineStr">
        <is>
          <t>SENDGRID</t>
        </is>
      </c>
      <c r="C73" s="14" t="inlineStr">
        <is>
          <t>US</t>
        </is>
      </c>
      <c r="D73" s="13" t="inlineStr">
        <is>
          <t>SENDGRID</t>
        </is>
      </c>
      <c r="E73" s="15" t="n">
        <v>47</v>
      </c>
      <c r="F73" s="15" t="n">
        <v>47</v>
      </c>
      <c r="G73" s="16" t="n">
        <v>20935.61</v>
      </c>
      <c r="H73" s="16" t="n">
        <v>20935.61</v>
      </c>
      <c r="I73" s="14" t="n">
        <v>2018</v>
      </c>
      <c r="J73" s="14" t="n">
        <v>2021</v>
      </c>
      <c r="K73" s="14" t="n">
        <v>112</v>
      </c>
      <c r="L73" s="14" t="inlineStr">
        <is>
          <t>21% RC</t>
        </is>
      </c>
      <c r="M73" s="13" t="inlineStr">
        <is>
          <t>Extra-UE SaaS (review: posible nuevo tax)</t>
        </is>
      </c>
      <c r="N73" s="17" t="inlineStr"/>
      <c r="O73" s="13" t="inlineStr"/>
      <c r="P73" s="13" t="inlineStr">
        <is>
          <t>COMPRAS SERVICIOS TIPO 21%</t>
        </is>
      </c>
      <c r="Q73" s="13" t="inlineStr">
        <is>
          <t>INV03879307 (476.6€) | INV03784389 (478.03€)</t>
        </is>
      </c>
    </row>
    <row r="74">
      <c r="A74" s="19" t="inlineStr">
        <is>
          <t>EXTRA_UE</t>
        </is>
      </c>
      <c r="B74" s="13" t="inlineStr">
        <is>
          <t>MAIL CHIMP C.O.</t>
        </is>
      </c>
      <c r="C74" s="14" t="inlineStr">
        <is>
          <t>US</t>
        </is>
      </c>
      <c r="D74" s="13" t="inlineStr">
        <is>
          <t>EU372008134</t>
        </is>
      </c>
      <c r="E74" s="15" t="n">
        <v>52</v>
      </c>
      <c r="F74" s="15" t="n">
        <v>52</v>
      </c>
      <c r="G74" s="16" t="n">
        <v>14388.81</v>
      </c>
      <c r="H74" s="16" t="n">
        <v>14388.81</v>
      </c>
      <c r="I74" s="14" t="n">
        <v>2018</v>
      </c>
      <c r="J74" s="14" t="n">
        <v>2021</v>
      </c>
      <c r="K74" s="14" t="n">
        <v>112</v>
      </c>
      <c r="L74" s="14" t="inlineStr">
        <is>
          <t>21% RC</t>
        </is>
      </c>
      <c r="M74" s="13" t="inlineStr">
        <is>
          <t>Extra-UE SaaS (review: posible nuevo tax)</t>
        </is>
      </c>
      <c r="N74" s="17" t="inlineStr"/>
      <c r="O74" s="13" t="inlineStr"/>
      <c r="P74" s="13" t="inlineStr">
        <is>
          <t>COMPRAS SERVICIOS TIPO 21%</t>
        </is>
      </c>
      <c r="Q74" s="13" t="inlineStr">
        <is>
          <t>MC07664289 (67.07€) | MC07573917 (67.05€)</t>
        </is>
      </c>
    </row>
    <row r="75">
      <c r="A75" s="19" t="inlineStr">
        <is>
          <t>EXTRA_UE</t>
        </is>
      </c>
      <c r="B75" s="13" t="inlineStr">
        <is>
          <t>ATLASSIAN PTY LTD</t>
        </is>
      </c>
      <c r="C75" s="14" t="inlineStr">
        <is>
          <t>AU</t>
        </is>
      </c>
      <c r="D75" s="13" t="inlineStr">
        <is>
          <t>AUEU372001951</t>
        </is>
      </c>
      <c r="E75" s="15" t="n">
        <v>100</v>
      </c>
      <c r="F75" s="15" t="n">
        <v>100</v>
      </c>
      <c r="G75" s="16" t="n">
        <v>12651.24</v>
      </c>
      <c r="H75" s="16" t="n">
        <v>12651.24</v>
      </c>
      <c r="I75" s="14" t="n">
        <v>2018</v>
      </c>
      <c r="J75" s="14" t="n">
        <v>2021</v>
      </c>
      <c r="K75" s="14" t="n">
        <v>112</v>
      </c>
      <c r="L75" s="14" t="inlineStr">
        <is>
          <t>21% RC</t>
        </is>
      </c>
      <c r="M75" s="13" t="inlineStr">
        <is>
          <t>Extra-UE SaaS (review: posible nuevo tax)</t>
        </is>
      </c>
      <c r="N75" s="17" t="inlineStr"/>
      <c r="O75" s="13" t="inlineStr"/>
      <c r="P75" s="13" t="inlineStr">
        <is>
          <t>COMPRAS SERVICIOS TIPO 21%</t>
        </is>
      </c>
      <c r="Q75" s="13" t="inlineStr">
        <is>
          <t>AT67822350 (160.77€) | AT67822366 (21.88€)</t>
        </is>
      </c>
    </row>
    <row r="76">
      <c r="A76" s="19" t="inlineStr">
        <is>
          <t>EXTRA_UE</t>
        </is>
      </c>
      <c r="B76" s="13" t="inlineStr">
        <is>
          <t>NEXMO INC</t>
        </is>
      </c>
      <c r="C76" s="14" t="inlineStr">
        <is>
          <t>US</t>
        </is>
      </c>
      <c r="D76" s="13" t="inlineStr"/>
      <c r="E76" s="15" t="n">
        <v>126</v>
      </c>
      <c r="F76" s="15" t="n">
        <v>126</v>
      </c>
      <c r="G76" s="16" t="n">
        <v>10560</v>
      </c>
      <c r="H76" s="16" t="n">
        <v>10560</v>
      </c>
      <c r="I76" s="14" t="n">
        <v>2018</v>
      </c>
      <c r="J76" s="14" t="n">
        <v>2021</v>
      </c>
      <c r="K76" s="14" t="n">
        <v>112</v>
      </c>
      <c r="L76" s="14" t="inlineStr">
        <is>
          <t>21% RC</t>
        </is>
      </c>
      <c r="M76" s="13" t="inlineStr">
        <is>
          <t>Extra-UE SaaS (review: posible nuevo tax)</t>
        </is>
      </c>
      <c r="N76" s="17" t="inlineStr"/>
      <c r="O76" s="13" t="inlineStr"/>
      <c r="P76" s="13" t="inlineStr">
        <is>
          <t>COMPRAS SERVICIOS TIPO 21% | VENTAS SERVICIOS TIPO GEN.</t>
        </is>
      </c>
      <c r="Q76" s="13" t="inlineStr">
        <is>
          <t>125853 (10€) | 125850 (10€)</t>
        </is>
      </c>
    </row>
    <row r="77">
      <c r="A77" s="19" t="inlineStr">
        <is>
          <t>EXTRA_UE</t>
        </is>
      </c>
      <c r="B77" s="13" t="inlineStr">
        <is>
          <t>GODADDY</t>
        </is>
      </c>
      <c r="C77" s="14" t="inlineStr">
        <is>
          <t>US</t>
        </is>
      </c>
      <c r="D77" s="13" t="inlineStr">
        <is>
          <t>USEU826010755</t>
        </is>
      </c>
      <c r="E77" s="15" t="n">
        <v>29</v>
      </c>
      <c r="F77" s="15" t="n">
        <v>29</v>
      </c>
      <c r="G77" s="16" t="n">
        <v>3864.27</v>
      </c>
      <c r="H77" s="16" t="n">
        <v>3864.27</v>
      </c>
      <c r="I77" s="14" t="n">
        <v>2018</v>
      </c>
      <c r="J77" s="14" t="n">
        <v>2021</v>
      </c>
      <c r="K77" s="14" t="n">
        <v>112</v>
      </c>
      <c r="L77" s="14" t="inlineStr">
        <is>
          <t>21% RC</t>
        </is>
      </c>
      <c r="M77" s="13" t="inlineStr">
        <is>
          <t>Extra-UE SaaS (review: posible nuevo tax)</t>
        </is>
      </c>
      <c r="N77" s="17" t="inlineStr"/>
      <c r="O77" s="13" t="inlineStr"/>
      <c r="P77" s="13" t="inlineStr">
        <is>
          <t>COMPRAS SERVICIOS TIPO 21%</t>
        </is>
      </c>
      <c r="Q77" s="13" t="inlineStr">
        <is>
          <t>1326817699 (52.82€) | 1314692415 (363.99€)</t>
        </is>
      </c>
    </row>
    <row r="78">
      <c r="A78" s="19" t="inlineStr">
        <is>
          <t>EXTRA_UE</t>
        </is>
      </c>
      <c r="B78" s="13" t="inlineStr">
        <is>
          <t>BEE MAILUP INC</t>
        </is>
      </c>
      <c r="C78" s="14" t="inlineStr">
        <is>
          <t>US</t>
        </is>
      </c>
      <c r="D78" s="13" t="inlineStr">
        <is>
          <t>IDEIN453916482</t>
        </is>
      </c>
      <c r="E78" s="15" t="n">
        <v>32</v>
      </c>
      <c r="F78" s="15" t="n">
        <v>32</v>
      </c>
      <c r="G78" s="16" t="n">
        <v>3270.11</v>
      </c>
      <c r="H78" s="16" t="n">
        <v>3270.11</v>
      </c>
      <c r="I78" s="14" t="n">
        <v>2018</v>
      </c>
      <c r="J78" s="14" t="n">
        <v>2020</v>
      </c>
      <c r="K78" s="14" t="n">
        <v>112</v>
      </c>
      <c r="L78" s="14" t="inlineStr">
        <is>
          <t>21% RC</t>
        </is>
      </c>
      <c r="M78" s="13" t="inlineStr">
        <is>
          <t>Extra-UE SaaS (review: posible nuevo tax)</t>
        </is>
      </c>
      <c r="N78" s="17" t="inlineStr"/>
      <c r="O78" s="13" t="inlineStr"/>
      <c r="P78" s="13" t="inlineStr">
        <is>
          <t>COMPRAS SERVICIOS TIPO 21%</t>
        </is>
      </c>
      <c r="Q78" s="13" t="inlineStr">
        <is>
          <t>INV72310 (90.96€) | INV68198 (90.96€)</t>
        </is>
      </c>
    </row>
    <row r="79">
      <c r="A79" s="19" t="inlineStr">
        <is>
          <t>EXTRA_UE</t>
        </is>
      </c>
      <c r="B79" s="13" t="inlineStr">
        <is>
          <t>STITCH, INC</t>
        </is>
      </c>
      <c r="C79" s="14" t="inlineStr">
        <is>
          <t>US</t>
        </is>
      </c>
      <c r="D79" s="13" t="inlineStr">
        <is>
          <t>STITCH</t>
        </is>
      </c>
      <c r="E79" s="15" t="n">
        <v>27</v>
      </c>
      <c r="F79" s="15" t="n">
        <v>27</v>
      </c>
      <c r="G79" s="16" t="n">
        <v>2370.96</v>
      </c>
      <c r="H79" s="16" t="n">
        <v>2370.96</v>
      </c>
      <c r="I79" s="14" t="n">
        <v>2019</v>
      </c>
      <c r="J79" s="14" t="n">
        <v>2021</v>
      </c>
      <c r="K79" s="14" t="n">
        <v>112</v>
      </c>
      <c r="L79" s="14" t="inlineStr">
        <is>
          <t>21% RC</t>
        </is>
      </c>
      <c r="M79" s="13" t="inlineStr">
        <is>
          <t>Extra-UE SaaS (review: posible nuevo tax)</t>
        </is>
      </c>
      <c r="N79" s="17" t="inlineStr"/>
      <c r="O79" s="13" t="inlineStr"/>
      <c r="P79" s="13" t="inlineStr">
        <is>
          <t>COMPRAS SERVICIOS TIPO 21%</t>
        </is>
      </c>
      <c r="Q79" s="13" t="inlineStr">
        <is>
          <t>INV00147823 (91.97€) | INV001385446 (93.78€)</t>
        </is>
      </c>
    </row>
    <row r="80">
      <c r="A80" s="19" t="inlineStr">
        <is>
          <t>EXTRA_UE</t>
        </is>
      </c>
      <c r="B80" s="13" t="inlineStr">
        <is>
          <t>BEE MAILUP INC</t>
        </is>
      </c>
      <c r="C80" s="14" t="inlineStr">
        <is>
          <t>US</t>
        </is>
      </c>
      <c r="D80" s="13" t="inlineStr">
        <is>
          <t>EIN453916481</t>
        </is>
      </c>
      <c r="E80" s="15" t="n">
        <v>12</v>
      </c>
      <c r="F80" s="15" t="n">
        <v>12</v>
      </c>
      <c r="G80" s="16" t="n">
        <v>1833.11</v>
      </c>
      <c r="H80" s="16" t="n">
        <v>1833.11</v>
      </c>
      <c r="I80" s="14" t="n">
        <v>2021</v>
      </c>
      <c r="J80" s="14" t="n">
        <v>2021</v>
      </c>
      <c r="K80" s="14" t="n">
        <v>112</v>
      </c>
      <c r="L80" s="14" t="inlineStr">
        <is>
          <t>21% RC</t>
        </is>
      </c>
      <c r="M80" s="13" t="inlineStr">
        <is>
          <t>Extra-UE SaaS (review: posible nuevo tax)</t>
        </is>
      </c>
      <c r="N80" s="17" t="inlineStr"/>
      <c r="O80" s="13" t="inlineStr"/>
      <c r="P80" s="13" t="inlineStr">
        <is>
          <t>COMPRAS SERVICIOS TIPO 21%</t>
        </is>
      </c>
      <c r="Q80" s="13" t="inlineStr">
        <is>
          <t>21Z00125328 (228.61€) | 21Z00115707 (223.72€)</t>
        </is>
      </c>
    </row>
    <row r="81">
      <c r="A81" s="19" t="inlineStr">
        <is>
          <t>EXTRA_UE</t>
        </is>
      </c>
      <c r="B81" s="13" t="inlineStr">
        <is>
          <t>FIGMA, INC.</t>
        </is>
      </c>
      <c r="C81" s="14" t="inlineStr">
        <is>
          <t>US</t>
        </is>
      </c>
      <c r="D81" s="13" t="inlineStr">
        <is>
          <t>FIGMA</t>
        </is>
      </c>
      <c r="E81" s="15" t="n">
        <v>20</v>
      </c>
      <c r="F81" s="15" t="n">
        <v>20</v>
      </c>
      <c r="G81" s="16" t="n">
        <v>1181.16</v>
      </c>
      <c r="H81" s="16" t="n">
        <v>1181.16</v>
      </c>
      <c r="I81" s="14" t="n">
        <v>2020</v>
      </c>
      <c r="J81" s="14" t="n">
        <v>2021</v>
      </c>
      <c r="K81" s="14" t="n">
        <v>112</v>
      </c>
      <c r="L81" s="14" t="inlineStr">
        <is>
          <t>21% RC</t>
        </is>
      </c>
      <c r="M81" s="13" t="inlineStr">
        <is>
          <t>Extra-UE SaaS (review: posible nuevo tax)</t>
        </is>
      </c>
      <c r="N81" s="17" t="inlineStr"/>
      <c r="O81" s="13" t="inlineStr"/>
      <c r="P81" s="13" t="inlineStr">
        <is>
          <t>COMPRAS SERVICIOS TIPO 21%</t>
        </is>
      </c>
      <c r="Q81" s="13" t="inlineStr">
        <is>
          <t>793AC4330010 (37.99€) | 793AC4330009 (38.93€)</t>
        </is>
      </c>
    </row>
    <row r="82">
      <c r="A82" s="19" t="inlineStr">
        <is>
          <t>EXTRA_UE</t>
        </is>
      </c>
      <c r="B82" s="13" t="inlineStr">
        <is>
          <t>BLENDO APRISE INC.</t>
        </is>
      </c>
      <c r="C82" s="14" t="inlineStr">
        <is>
          <t>US</t>
        </is>
      </c>
      <c r="D82" s="13" t="inlineStr">
        <is>
          <t>BLENDO</t>
        </is>
      </c>
      <c r="E82" s="15" t="n">
        <v>10</v>
      </c>
      <c r="F82" s="15" t="n">
        <v>10</v>
      </c>
      <c r="G82" s="16" t="n">
        <v>965.05</v>
      </c>
      <c r="H82" s="16" t="n">
        <v>965.05</v>
      </c>
      <c r="I82" s="14" t="n">
        <v>2018</v>
      </c>
      <c r="J82" s="14" t="n">
        <v>2018</v>
      </c>
      <c r="K82" s="14" t="n">
        <v>112</v>
      </c>
      <c r="L82" s="14" t="inlineStr">
        <is>
          <t>21% RC</t>
        </is>
      </c>
      <c r="M82" s="13" t="inlineStr">
        <is>
          <t>Extra-UE SaaS (review: posible nuevo tax)</t>
        </is>
      </c>
      <c r="N82" s="17" t="inlineStr"/>
      <c r="O82" s="13" t="inlineStr"/>
      <c r="P82" s="13" t="inlineStr">
        <is>
          <t>COMPRAS SERVICIOS TIPO 21%</t>
        </is>
      </c>
      <c r="Q82" s="13" t="inlineStr">
        <is>
          <t>IN1819 (90.96€) | IN1708 (89.35€)</t>
        </is>
      </c>
    </row>
    <row r="83">
      <c r="A83" s="19" t="inlineStr">
        <is>
          <t>EXTRA_UE</t>
        </is>
      </c>
      <c r="B83" s="13" t="inlineStr">
        <is>
          <t>MIRO INC FORMERLY REALTIMEBOARD</t>
        </is>
      </c>
      <c r="C83" s="14" t="inlineStr">
        <is>
          <t>US</t>
        </is>
      </c>
      <c r="D83" s="13" t="inlineStr">
        <is>
          <t>USEIN463921926</t>
        </is>
      </c>
      <c r="E83" s="15" t="n">
        <v>21</v>
      </c>
      <c r="F83" s="15" t="n">
        <v>21</v>
      </c>
      <c r="G83" s="16" t="n">
        <v>927.9400000000001</v>
      </c>
      <c r="H83" s="16" t="n">
        <v>927.9400000000001</v>
      </c>
      <c r="I83" s="14" t="n">
        <v>2020</v>
      </c>
      <c r="J83" s="14" t="n">
        <v>2021</v>
      </c>
      <c r="K83" s="14" t="n">
        <v>112</v>
      </c>
      <c r="L83" s="14" t="inlineStr">
        <is>
          <t>21% RC</t>
        </is>
      </c>
      <c r="M83" s="13" t="inlineStr">
        <is>
          <t>Extra-UE SaaS (review: posible nuevo tax)</t>
        </is>
      </c>
      <c r="N83" s="17" t="inlineStr"/>
      <c r="O83" s="13" t="inlineStr"/>
      <c r="P83" s="13" t="inlineStr">
        <is>
          <t>COMPRAS SERVICIOS TIPO 21%</t>
        </is>
      </c>
      <c r="Q83" s="13" t="inlineStr">
        <is>
          <t>27BE2F310009 (42.41€) | 27BE2F310008 (43.59€)</t>
        </is>
      </c>
    </row>
    <row r="84">
      <c r="A84" s="19" t="inlineStr">
        <is>
          <t>EXTRA_UE</t>
        </is>
      </c>
      <c r="B84" s="13" t="inlineStr">
        <is>
          <t>CALENDLY LLC</t>
        </is>
      </c>
      <c r="C84" s="14" t="inlineStr">
        <is>
          <t>US</t>
        </is>
      </c>
      <c r="D84" s="13" t="inlineStr">
        <is>
          <t>CALENDLY</t>
        </is>
      </c>
      <c r="E84" s="15" t="n">
        <v>28</v>
      </c>
      <c r="F84" s="15" t="n">
        <v>28</v>
      </c>
      <c r="G84" s="16" t="n">
        <v>858.55</v>
      </c>
      <c r="H84" s="16" t="n">
        <v>858.55</v>
      </c>
      <c r="I84" s="14" t="n">
        <v>2019</v>
      </c>
      <c r="J84" s="14" t="n">
        <v>2021</v>
      </c>
      <c r="K84" s="14" t="n">
        <v>112</v>
      </c>
      <c r="L84" s="14" t="inlineStr">
        <is>
          <t>21% RC</t>
        </is>
      </c>
      <c r="M84" s="13" t="inlineStr">
        <is>
          <t>Extra-UE SaaS (review: posible nuevo tax)</t>
        </is>
      </c>
      <c r="N84" s="17" t="inlineStr"/>
      <c r="O84" s="13" t="inlineStr"/>
      <c r="P84" s="13" t="inlineStr">
        <is>
          <t>COMPRAS SERVICIOS TIPO 21%</t>
        </is>
      </c>
      <c r="Q84" s="13" t="inlineStr">
        <is>
          <t>24303373 (14.04€) | 9F58FC550005 (13.88€)</t>
        </is>
      </c>
    </row>
    <row r="85">
      <c r="A85" s="19" t="inlineStr">
        <is>
          <t>EXTRA_UE</t>
        </is>
      </c>
      <c r="B85" s="13" t="inlineStr">
        <is>
          <t>PLATZI INC</t>
        </is>
      </c>
      <c r="C85" s="14" t="inlineStr">
        <is>
          <t>US</t>
        </is>
      </c>
      <c r="D85" s="13" t="inlineStr">
        <is>
          <t>PLATZI</t>
        </is>
      </c>
      <c r="E85" s="15" t="n">
        <v>15</v>
      </c>
      <c r="F85" s="15" t="n">
        <v>15</v>
      </c>
      <c r="G85" s="16" t="n">
        <v>752.11</v>
      </c>
      <c r="H85" s="16" t="n">
        <v>752.11</v>
      </c>
      <c r="I85" s="14" t="n">
        <v>2018</v>
      </c>
      <c r="J85" s="14" t="n">
        <v>2020</v>
      </c>
      <c r="K85" s="14" t="n">
        <v>112</v>
      </c>
      <c r="L85" s="14" t="inlineStr">
        <is>
          <t>21% RC</t>
        </is>
      </c>
      <c r="M85" s="13" t="inlineStr">
        <is>
          <t>Extra-UE SaaS (review: posible nuevo tax)</t>
        </is>
      </c>
      <c r="N85" s="17" t="inlineStr"/>
      <c r="O85" s="13" t="inlineStr"/>
      <c r="P85" s="13" t="inlineStr">
        <is>
          <t>COMPRAS SERVICIOS TIPO 21%</t>
        </is>
      </c>
      <c r="Q85" s="13" t="inlineStr">
        <is>
          <t>257242 (34.57€) | 252051 (34.57€)</t>
        </is>
      </c>
    </row>
    <row r="86">
      <c r="A86" s="19" t="inlineStr">
        <is>
          <t>EXTRA_UE</t>
        </is>
      </c>
      <c r="B86" s="13" t="inlineStr">
        <is>
          <t>IMGIX</t>
        </is>
      </c>
      <c r="C86" s="14" t="inlineStr">
        <is>
          <t>US</t>
        </is>
      </c>
      <c r="D86" s="13" t="inlineStr">
        <is>
          <t>IMGIX</t>
        </is>
      </c>
      <c r="E86" s="15" t="n">
        <v>50</v>
      </c>
      <c r="F86" s="15" t="n">
        <v>50</v>
      </c>
      <c r="G86" s="16" t="n">
        <v>604.88</v>
      </c>
      <c r="H86" s="16" t="n">
        <v>604.88</v>
      </c>
      <c r="I86" s="14" t="n">
        <v>2018</v>
      </c>
      <c r="J86" s="14" t="n">
        <v>2021</v>
      </c>
      <c r="K86" s="14" t="n">
        <v>112</v>
      </c>
      <c r="L86" s="14" t="inlineStr">
        <is>
          <t>21% RC</t>
        </is>
      </c>
      <c r="M86" s="13" t="inlineStr">
        <is>
          <t>Extra-UE SaaS (review: posible nuevo tax)</t>
        </is>
      </c>
      <c r="N86" s="17" t="inlineStr"/>
      <c r="O86" s="13" t="inlineStr"/>
      <c r="P86" s="13" t="inlineStr">
        <is>
          <t>COMPRAS SERVICIOS TIPO 21%</t>
        </is>
      </c>
      <c r="Q86" s="13" t="inlineStr">
        <is>
          <t>094184 (12.35€) | 0090347 (12.45€)</t>
        </is>
      </c>
    </row>
    <row r="87">
      <c r="A87" s="19" t="inlineStr">
        <is>
          <t>EXTRA_UE</t>
        </is>
      </c>
      <c r="B87" s="13" t="inlineStr">
        <is>
          <t>SCREENCONNECT SOFTWARE, LLC</t>
        </is>
      </c>
      <c r="C87" s="14" t="inlineStr">
        <is>
          <t>US</t>
        </is>
      </c>
      <c r="D87" s="13" t="inlineStr">
        <is>
          <t>SCREENCONNECT</t>
        </is>
      </c>
      <c r="E87" s="15" t="n">
        <v>2</v>
      </c>
      <c r="F87" s="15" t="n">
        <v>2</v>
      </c>
      <c r="G87" s="16" t="n">
        <v>590.71</v>
      </c>
      <c r="H87" s="16" t="n">
        <v>590.71</v>
      </c>
      <c r="I87" s="14" t="n">
        <v>2018</v>
      </c>
      <c r="J87" s="14" t="n">
        <v>2020</v>
      </c>
      <c r="K87" s="14" t="n">
        <v>112</v>
      </c>
      <c r="L87" s="14" t="inlineStr">
        <is>
          <t>21% RC</t>
        </is>
      </c>
      <c r="M87" s="13" t="inlineStr">
        <is>
          <t>Extra-UE SaaS (review: posible nuevo tax)</t>
        </is>
      </c>
      <c r="N87" s="17" t="inlineStr"/>
      <c r="O87" s="13" t="inlineStr"/>
      <c r="P87" s="13" t="inlineStr">
        <is>
          <t>COMPRAS SERVICIOS TIPO 21%</t>
        </is>
      </c>
      <c r="Q87" s="13" t="inlineStr">
        <is>
          <t>180821134822 (108.21€) | 6142654908653388239 (482.5€)</t>
        </is>
      </c>
    </row>
    <row r="88">
      <c r="A88" s="19" t="inlineStr">
        <is>
          <t>EXTRA_UE</t>
        </is>
      </c>
      <c r="B88" s="13" t="inlineStr">
        <is>
          <t>ZEPLIN INC.</t>
        </is>
      </c>
      <c r="C88" s="14" t="inlineStr">
        <is>
          <t>US</t>
        </is>
      </c>
      <c r="D88" s="13" t="inlineStr">
        <is>
          <t>ZEPLIN</t>
        </is>
      </c>
      <c r="E88" s="15" t="n">
        <v>3</v>
      </c>
      <c r="F88" s="15" t="n">
        <v>3</v>
      </c>
      <c r="G88" s="16" t="n">
        <v>547.66</v>
      </c>
      <c r="H88" s="16" t="n">
        <v>547.66</v>
      </c>
      <c r="I88" s="14" t="n">
        <v>2018</v>
      </c>
      <c r="J88" s="14" t="n">
        <v>2020</v>
      </c>
      <c r="K88" s="14" t="n">
        <v>112</v>
      </c>
      <c r="L88" s="14" t="inlineStr">
        <is>
          <t>21% RC</t>
        </is>
      </c>
      <c r="M88" s="13" t="inlineStr">
        <is>
          <t>Extra-UE SaaS (review: posible nuevo tax)</t>
        </is>
      </c>
      <c r="N88" s="17" t="inlineStr"/>
      <c r="O88" s="13" t="inlineStr"/>
      <c r="P88" s="13" t="inlineStr">
        <is>
          <t>COMPRAS SERVICIOS TIPO 21%</t>
        </is>
      </c>
      <c r="Q88" s="13" t="inlineStr">
        <is>
          <t>LNCT6V (184.93€) | ZIJ2555LDKH6G (189.81€)</t>
        </is>
      </c>
    </row>
    <row r="89">
      <c r="A89" s="19" t="inlineStr">
        <is>
          <t>EXTRA_UE</t>
        </is>
      </c>
      <c r="B89" s="13" t="inlineStr">
        <is>
          <t>PADDLE.COM MARKET LTD</t>
        </is>
      </c>
      <c r="C89" s="14" t="inlineStr">
        <is>
          <t>GB</t>
        </is>
      </c>
      <c r="D89" s="13" t="inlineStr">
        <is>
          <t>EU372017215</t>
        </is>
      </c>
      <c r="E89" s="15" t="n">
        <v>7</v>
      </c>
      <c r="F89" s="15" t="n">
        <v>7</v>
      </c>
      <c r="G89" s="16" t="n">
        <v>526.73</v>
      </c>
      <c r="H89" s="16" t="n">
        <v>526.73</v>
      </c>
      <c r="I89" s="14" t="n">
        <v>2020</v>
      </c>
      <c r="J89" s="14" t="n">
        <v>2021</v>
      </c>
      <c r="K89" s="14" t="n">
        <v>112</v>
      </c>
      <c r="L89" s="14" t="inlineStr">
        <is>
          <t>21% RC</t>
        </is>
      </c>
      <c r="M89" s="13" t="inlineStr">
        <is>
          <t>Extra-UE SaaS (review: posible nuevo tax)</t>
        </is>
      </c>
      <c r="N89" s="17" t="inlineStr"/>
      <c r="O89" s="13" t="inlineStr"/>
      <c r="P89" s="13" t="inlineStr">
        <is>
          <t>COMPRAS SERVICIOS TIPO 21%</t>
        </is>
      </c>
      <c r="Q89" s="13" t="inlineStr">
        <is>
          <t>19018189 (44.23€) | 14976156 (56.22€)</t>
        </is>
      </c>
    </row>
    <row r="90">
      <c r="A90" s="19" t="inlineStr">
        <is>
          <t>EXTRA_UE</t>
        </is>
      </c>
      <c r="B90" s="13" t="inlineStr">
        <is>
          <t>DATACAMP INC.</t>
        </is>
      </c>
      <c r="C90" s="14" t="inlineStr">
        <is>
          <t>US</t>
        </is>
      </c>
      <c r="D90" s="13" t="inlineStr">
        <is>
          <t>DATACAMP</t>
        </is>
      </c>
      <c r="E90" s="15" t="n">
        <v>19</v>
      </c>
      <c r="F90" s="15" t="n">
        <v>19</v>
      </c>
      <c r="G90" s="16" t="n">
        <v>497.74</v>
      </c>
      <c r="H90" s="16" t="n">
        <v>497.74</v>
      </c>
      <c r="I90" s="14" t="n">
        <v>2018</v>
      </c>
      <c r="J90" s="14" t="n">
        <v>2021</v>
      </c>
      <c r="K90" s="14" t="n">
        <v>112</v>
      </c>
      <c r="L90" s="14" t="inlineStr">
        <is>
          <t>21% RC</t>
        </is>
      </c>
      <c r="M90" s="13" t="inlineStr">
        <is>
          <t>Extra-UE SaaS (review: posible nuevo tax)</t>
        </is>
      </c>
      <c r="N90" s="17" t="inlineStr"/>
      <c r="O90" s="13" t="inlineStr"/>
      <c r="P90" s="13" t="inlineStr">
        <is>
          <t>COMPRAS SERVICIOS TIPO 21%</t>
        </is>
      </c>
      <c r="Q90" s="13" t="inlineStr">
        <is>
          <t>INV00024935 (25.61€) | INV00004502 (25.76€)</t>
        </is>
      </c>
    </row>
    <row r="91">
      <c r="A91" s="19" t="inlineStr">
        <is>
          <t>EXTRA_UE</t>
        </is>
      </c>
      <c r="B91" s="13" t="inlineStr">
        <is>
          <t>IWANTMYNAME IDEEGEO GROUP LTD</t>
        </is>
      </c>
      <c r="C91" s="14" t="inlineStr">
        <is>
          <t>AU</t>
        </is>
      </c>
      <c r="D91" s="13" t="inlineStr">
        <is>
          <t>GST99864117</t>
        </is>
      </c>
      <c r="E91" s="15" t="n">
        <v>6</v>
      </c>
      <c r="F91" s="15" t="n">
        <v>6</v>
      </c>
      <c r="G91" s="16" t="n">
        <v>475.34</v>
      </c>
      <c r="H91" s="16" t="n">
        <v>475.34</v>
      </c>
      <c r="I91" s="14" t="n">
        <v>2018</v>
      </c>
      <c r="J91" s="14" t="n">
        <v>2024</v>
      </c>
      <c r="K91" s="14" t="n">
        <v>112</v>
      </c>
      <c r="L91" s="14" t="inlineStr">
        <is>
          <t>21% RC</t>
        </is>
      </c>
      <c r="M91" s="13" t="inlineStr">
        <is>
          <t>Extra-UE SaaS (review: posible nuevo tax)</t>
        </is>
      </c>
      <c r="N91" s="17" t="inlineStr"/>
      <c r="O91" s="13" t="inlineStr"/>
      <c r="P91" s="13" t="inlineStr">
        <is>
          <t>COMPRAS SERVICIOS TIPO 21%</t>
        </is>
      </c>
      <c r="Q91" s="13" t="inlineStr">
        <is>
          <t>INV1342721 (59€) | INV3166747 (59€)</t>
        </is>
      </c>
    </row>
    <row r="92">
      <c r="A92" s="19" t="inlineStr">
        <is>
          <t>EXTRA_UE</t>
        </is>
      </c>
      <c r="B92" s="13" t="inlineStr">
        <is>
          <t>BITLY INC.</t>
        </is>
      </c>
      <c r="C92" s="14" t="inlineStr">
        <is>
          <t>US</t>
        </is>
      </c>
      <c r="D92" s="13" t="inlineStr">
        <is>
          <t>BITLY</t>
        </is>
      </c>
      <c r="E92" s="15" t="n">
        <v>14</v>
      </c>
      <c r="F92" s="15" t="n">
        <v>14</v>
      </c>
      <c r="G92" s="16" t="n">
        <v>452.67</v>
      </c>
      <c r="H92" s="16" t="n">
        <v>452.67</v>
      </c>
      <c r="I92" s="14" t="n">
        <v>2019</v>
      </c>
      <c r="J92" s="14" t="n">
        <v>2020</v>
      </c>
      <c r="K92" s="14" t="n">
        <v>112</v>
      </c>
      <c r="L92" s="14" t="inlineStr">
        <is>
          <t>21% RC</t>
        </is>
      </c>
      <c r="M92" s="13" t="inlineStr">
        <is>
          <t>Extra-UE SaaS (review: posible nuevo tax)</t>
        </is>
      </c>
      <c r="N92" s="17" t="inlineStr"/>
      <c r="O92" s="13" t="inlineStr"/>
      <c r="P92" s="13" t="inlineStr">
        <is>
          <t>COMPRAS SERVICIOS TIPO 21%</t>
        </is>
      </c>
      <c r="Q92" s="13" t="inlineStr">
        <is>
          <t>INV00026062 (32.46€) | INV00021707 (32.77€)</t>
        </is>
      </c>
    </row>
    <row r="93">
      <c r="A93" s="19" t="inlineStr">
        <is>
          <t>EXTRA_UE</t>
        </is>
      </c>
      <c r="B93" s="13" t="inlineStr">
        <is>
          <t>CANVA PTY LTD</t>
        </is>
      </c>
      <c r="C93" s="14" t="inlineStr">
        <is>
          <t>AU</t>
        </is>
      </c>
      <c r="D93" s="13" t="inlineStr">
        <is>
          <t>AN80158929938</t>
        </is>
      </c>
      <c r="E93" s="15" t="n">
        <v>49</v>
      </c>
      <c r="F93" s="15" t="n">
        <v>49</v>
      </c>
      <c r="G93" s="16" t="n">
        <v>444.49</v>
      </c>
      <c r="H93" s="16" t="n">
        <v>444.49</v>
      </c>
      <c r="I93" s="14" t="n">
        <v>2018</v>
      </c>
      <c r="J93" s="14" t="n">
        <v>2021</v>
      </c>
      <c r="K93" s="14" t="n">
        <v>112</v>
      </c>
      <c r="L93" s="14" t="inlineStr">
        <is>
          <t>21% RC</t>
        </is>
      </c>
      <c r="M93" s="13" t="inlineStr">
        <is>
          <t>Extra-UE SaaS (review: posible nuevo tax)</t>
        </is>
      </c>
      <c r="N93" s="17" t="inlineStr"/>
      <c r="O93" s="13" t="inlineStr"/>
      <c r="P93" s="13" t="inlineStr">
        <is>
          <t>COMPRAS SERVICIOS TIPO 21%</t>
        </is>
      </c>
      <c r="Q93" s="13" t="inlineStr">
        <is>
          <t>021900669456 (11.68€) | 021773091221 (0.91€)</t>
        </is>
      </c>
    </row>
    <row r="94">
      <c r="A94" s="19" t="inlineStr">
        <is>
          <t>EXTRA_UE</t>
        </is>
      </c>
      <c r="B94" s="13" t="inlineStr">
        <is>
          <t>BUFFER INC</t>
        </is>
      </c>
      <c r="C94" s="14" t="inlineStr">
        <is>
          <t>US</t>
        </is>
      </c>
      <c r="D94" s="13" t="inlineStr">
        <is>
          <t>IRSEIN800750238</t>
        </is>
      </c>
      <c r="E94" s="15" t="n">
        <v>44</v>
      </c>
      <c r="F94" s="15" t="n">
        <v>44</v>
      </c>
      <c r="G94" s="16" t="n">
        <v>393.28</v>
      </c>
      <c r="H94" s="16" t="n">
        <v>393.28</v>
      </c>
      <c r="I94" s="14" t="n">
        <v>2018</v>
      </c>
      <c r="J94" s="14" t="n">
        <v>2021</v>
      </c>
      <c r="K94" s="14" t="n">
        <v>112</v>
      </c>
      <c r="L94" s="14" t="inlineStr">
        <is>
          <t>21% RC</t>
        </is>
      </c>
      <c r="M94" s="13" t="inlineStr">
        <is>
          <t>Extra-UE SaaS (review: posible nuevo tax)</t>
        </is>
      </c>
      <c r="N94" s="17" t="inlineStr"/>
      <c r="O94" s="13" t="inlineStr"/>
      <c r="P94" s="13" t="inlineStr">
        <is>
          <t>COMPRAS SERVICIOS TIPO 21%</t>
        </is>
      </c>
      <c r="Q94" s="13" t="inlineStr">
        <is>
          <t>X2BO49 (8.78€) | 4C213D (8.92€)</t>
        </is>
      </c>
    </row>
    <row r="95">
      <c r="A95" s="19" t="inlineStr">
        <is>
          <t>EXTRA_UE</t>
        </is>
      </c>
      <c r="B95" s="13" t="inlineStr">
        <is>
          <t>PROSPERWORKS INC.</t>
        </is>
      </c>
      <c r="C95" s="14" t="inlineStr">
        <is>
          <t>US</t>
        </is>
      </c>
      <c r="D95" s="13" t="inlineStr">
        <is>
          <t>PROSPERWORKS</t>
        </is>
      </c>
      <c r="E95" s="15" t="n">
        <v>5</v>
      </c>
      <c r="F95" s="15" t="n">
        <v>6</v>
      </c>
      <c r="G95" s="16" t="n">
        <v>368.64</v>
      </c>
      <c r="H95" s="16" t="n">
        <v>368.64</v>
      </c>
      <c r="I95" s="14" t="n">
        <v>2018</v>
      </c>
      <c r="J95" s="14" t="n">
        <v>2018</v>
      </c>
      <c r="K95" s="14" t="n">
        <v>112</v>
      </c>
      <c r="L95" s="14" t="inlineStr">
        <is>
          <t>21% RC</t>
        </is>
      </c>
      <c r="M95" s="13" t="inlineStr">
        <is>
          <t>Extra-UE SaaS (review: posible nuevo tax)</t>
        </is>
      </c>
      <c r="N95" s="17" t="inlineStr"/>
      <c r="O95" s="13" t="inlineStr"/>
      <c r="P95" s="13" t="inlineStr">
        <is>
          <t>COMPRAS SERVICIOS TIPO 21%</t>
        </is>
      </c>
      <c r="Q95" s="13" t="inlineStr">
        <is>
          <t>129330 (63.87€) | 122912 (61.5€)</t>
        </is>
      </c>
    </row>
    <row r="96">
      <c r="A96" s="19" t="inlineStr">
        <is>
          <t>EXTRA_UE</t>
        </is>
      </c>
      <c r="B96" s="13" t="inlineStr">
        <is>
          <t>KAHOOT AS</t>
        </is>
      </c>
      <c r="C96" s="14" t="inlineStr">
        <is>
          <t>NO</t>
        </is>
      </c>
      <c r="D96" s="13" t="inlineStr">
        <is>
          <t>NO997770234</t>
        </is>
      </c>
      <c r="E96" s="15" t="n">
        <v>21</v>
      </c>
      <c r="F96" s="15" t="n">
        <v>21</v>
      </c>
      <c r="G96" s="16" t="n">
        <v>315</v>
      </c>
      <c r="H96" s="16" t="n">
        <v>315</v>
      </c>
      <c r="I96" s="14" t="n">
        <v>2020</v>
      </c>
      <c r="J96" s="14" t="n">
        <v>2021</v>
      </c>
      <c r="K96" s="14" t="n">
        <v>112</v>
      </c>
      <c r="L96" s="14" t="inlineStr">
        <is>
          <t>21% RC</t>
        </is>
      </c>
      <c r="M96" s="13" t="inlineStr">
        <is>
          <t>Extra-UE SaaS (review: posible nuevo tax)</t>
        </is>
      </c>
      <c r="N96" s="17" t="inlineStr"/>
      <c r="O96" s="13" t="inlineStr"/>
      <c r="P96" s="13" t="inlineStr">
        <is>
          <t>COMPRAS SERVICIOS TIPO 21%</t>
        </is>
      </c>
      <c r="Q96" s="13" t="inlineStr">
        <is>
          <t>2220732 (15€) | 2071516 (15€)</t>
        </is>
      </c>
    </row>
    <row r="97">
      <c r="A97" s="19" t="inlineStr">
        <is>
          <t>EXTRA_UE</t>
        </is>
      </c>
      <c r="B97" s="13" t="inlineStr">
        <is>
          <t>AMAZON WEB SERVICES</t>
        </is>
      </c>
      <c r="C97" s="14" t="inlineStr">
        <is>
          <t>US</t>
        </is>
      </c>
      <c r="D97" s="13" t="inlineStr">
        <is>
          <t>LU26888617</t>
        </is>
      </c>
      <c r="E97" s="15" t="n">
        <v>47</v>
      </c>
      <c r="F97" s="15" t="n">
        <v>47</v>
      </c>
      <c r="G97" s="16" t="n">
        <v>275.65</v>
      </c>
      <c r="H97" s="16" t="n">
        <v>275.65</v>
      </c>
      <c r="I97" s="14" t="n">
        <v>2018</v>
      </c>
      <c r="J97" s="14" t="n">
        <v>2021</v>
      </c>
      <c r="K97" s="14" t="n">
        <v>112</v>
      </c>
      <c r="L97" s="14" t="inlineStr">
        <is>
          <t>21% RC</t>
        </is>
      </c>
      <c r="M97" s="13" t="inlineStr">
        <is>
          <t>Extra-UE SaaS (review: posible nuevo tax)</t>
        </is>
      </c>
      <c r="N97" s="17" t="inlineStr"/>
      <c r="O97" s="13" t="inlineStr"/>
      <c r="P97" s="13" t="inlineStr">
        <is>
          <t>COMPRAS SERVICIOS TIPO 21%</t>
        </is>
      </c>
      <c r="Q97" s="13" t="inlineStr">
        <is>
          <t>158656703 (4.43€) | 155980235 (3.89€)</t>
        </is>
      </c>
    </row>
    <row r="98">
      <c r="A98" s="19" t="inlineStr">
        <is>
          <t>EXTRA_UE</t>
        </is>
      </c>
      <c r="B98" s="13" t="inlineStr">
        <is>
          <t>NAMECHEAP.COM</t>
        </is>
      </c>
      <c r="C98" s="14" t="inlineStr">
        <is>
          <t>US</t>
        </is>
      </c>
      <c r="D98" s="13" t="inlineStr">
        <is>
          <t>NAMECHEAP</t>
        </is>
      </c>
      <c r="E98" s="15" t="n">
        <v>23</v>
      </c>
      <c r="F98" s="15" t="n">
        <v>23</v>
      </c>
      <c r="G98" s="16" t="n">
        <v>230.9</v>
      </c>
      <c r="H98" s="16" t="n">
        <v>230.9</v>
      </c>
      <c r="I98" s="14" t="n">
        <v>2018</v>
      </c>
      <c r="J98" s="14" t="n">
        <v>2019</v>
      </c>
      <c r="K98" s="14" t="n">
        <v>112</v>
      </c>
      <c r="L98" s="14" t="inlineStr">
        <is>
          <t>21% RC</t>
        </is>
      </c>
      <c r="M98" s="13" t="inlineStr">
        <is>
          <t>Extra-UE SaaS (review: posible nuevo tax)</t>
        </is>
      </c>
      <c r="N98" s="17" t="inlineStr"/>
      <c r="O98" s="13" t="inlineStr"/>
      <c r="P98" s="13" t="inlineStr">
        <is>
          <t>COMPRAS SERVICIOS TIPO 21%</t>
        </is>
      </c>
      <c r="Q98" s="13" t="inlineStr">
        <is>
          <t>37724942 (8.78€) | 37493811 (10.69€)</t>
        </is>
      </c>
    </row>
    <row r="99">
      <c r="A99" s="19" t="inlineStr">
        <is>
          <t>EXTRA_UE</t>
        </is>
      </c>
      <c r="B99" s="13" t="inlineStr">
        <is>
          <t>SQUARESPACE</t>
        </is>
      </c>
      <c r="C99" s="14" t="inlineStr">
        <is>
          <t>US</t>
        </is>
      </c>
      <c r="D99" s="13" t="inlineStr">
        <is>
          <t>SQUARESPACE</t>
        </is>
      </c>
      <c r="E99" s="15" t="n">
        <v>14</v>
      </c>
      <c r="F99" s="15" t="n">
        <v>14</v>
      </c>
      <c r="G99" s="16" t="n">
        <v>228</v>
      </c>
      <c r="H99" s="16" t="n">
        <v>228</v>
      </c>
      <c r="I99" s="14" t="n">
        <v>2018</v>
      </c>
      <c r="J99" s="14" t="n">
        <v>2019</v>
      </c>
      <c r="K99" s="14" t="n">
        <v>112</v>
      </c>
      <c r="L99" s="14" t="inlineStr">
        <is>
          <t>21% RC</t>
        </is>
      </c>
      <c r="M99" s="13" t="inlineStr">
        <is>
          <t>Extra-UE SaaS (review: posible nuevo tax)</t>
        </is>
      </c>
      <c r="N99" s="17" t="inlineStr"/>
      <c r="O99" s="13" t="inlineStr"/>
      <c r="P99" s="13" t="inlineStr">
        <is>
          <t>COMPRAS SERVICIOS TIPO 21%</t>
        </is>
      </c>
      <c r="Q99" s="13" t="inlineStr">
        <is>
          <t>ES108493 (15€) | ES104121 (15€)</t>
        </is>
      </c>
    </row>
    <row r="100">
      <c r="A100" s="19" t="inlineStr">
        <is>
          <t>EXTRA_UE</t>
        </is>
      </c>
      <c r="B100" s="13" t="inlineStr">
        <is>
          <t>UDEMY</t>
        </is>
      </c>
      <c r="C100" s="14" t="inlineStr">
        <is>
          <t>US</t>
        </is>
      </c>
      <c r="D100" s="13" t="inlineStr">
        <is>
          <t>3290745GH</t>
        </is>
      </c>
      <c r="E100" s="15" t="n">
        <v>10</v>
      </c>
      <c r="F100" s="15" t="n">
        <v>10</v>
      </c>
      <c r="G100" s="16" t="n">
        <v>222.91</v>
      </c>
      <c r="H100" s="16" t="n">
        <v>222.91</v>
      </c>
      <c r="I100" s="14" t="n">
        <v>2018</v>
      </c>
      <c r="J100" s="14" t="n">
        <v>2021</v>
      </c>
      <c r="K100" s="14" t="n">
        <v>112</v>
      </c>
      <c r="L100" s="14" t="inlineStr">
        <is>
          <t>21% RC</t>
        </is>
      </c>
      <c r="M100" s="13" t="inlineStr">
        <is>
          <t>Extra-UE SaaS (review: posible nuevo tax)</t>
        </is>
      </c>
      <c r="N100" s="17" t="inlineStr"/>
      <c r="O100" s="13" t="inlineStr"/>
      <c r="P100" s="13" t="inlineStr">
        <is>
          <t>COMPRAS SERVICIOS TIPO 21%</t>
        </is>
      </c>
      <c r="Q100" s="13" t="inlineStr">
        <is>
          <t>6E6B713538 (12€) | C4B5741 (79.99€)</t>
        </is>
      </c>
    </row>
    <row r="101">
      <c r="A101" s="19" t="inlineStr">
        <is>
          <t>EXTRA_UE</t>
        </is>
      </c>
      <c r="B101" s="13" t="inlineStr">
        <is>
          <t>DIGITAL OCEAN</t>
        </is>
      </c>
      <c r="C101" s="14" t="inlineStr">
        <is>
          <t>US</t>
        </is>
      </c>
      <c r="D101" s="13" t="inlineStr">
        <is>
          <t>DIGITAL</t>
        </is>
      </c>
      <c r="E101" s="15" t="n">
        <v>36</v>
      </c>
      <c r="F101" s="15" t="n">
        <v>36</v>
      </c>
      <c r="G101" s="16" t="n">
        <v>197.65</v>
      </c>
      <c r="H101" s="16" t="n">
        <v>197.62</v>
      </c>
      <c r="I101" s="14" t="n">
        <v>2018</v>
      </c>
      <c r="J101" s="14" t="n">
        <v>2021</v>
      </c>
      <c r="K101" s="14" t="n">
        <v>112</v>
      </c>
      <c r="L101" s="14" t="inlineStr">
        <is>
          <t>21% RC</t>
        </is>
      </c>
      <c r="M101" s="13" t="inlineStr">
        <is>
          <t>Extra-UE SaaS (review: posible nuevo tax)</t>
        </is>
      </c>
      <c r="N101" s="17" t="inlineStr"/>
      <c r="O101" s="13" t="inlineStr"/>
      <c r="P101" s="13" t="inlineStr">
        <is>
          <t>COMPRAS SERVICIOS TIPO 21%</t>
        </is>
      </c>
      <c r="Q101" s="13" t="inlineStr">
        <is>
          <t>390506181 (10.83€) | 340699920 (10.69€)</t>
        </is>
      </c>
    </row>
    <row r="102">
      <c r="A102" s="19" t="inlineStr">
        <is>
          <t>EXTRA_UE</t>
        </is>
      </c>
      <c r="B102" s="13" t="inlineStr">
        <is>
          <t>PCMODDERS</t>
        </is>
      </c>
      <c r="C102" s="14" t="inlineStr">
        <is>
          <t>GB</t>
        </is>
      </c>
      <c r="D102" s="13" t="inlineStr">
        <is>
          <t>PCMODDERS</t>
        </is>
      </c>
      <c r="E102" s="15" t="n">
        <v>1</v>
      </c>
      <c r="F102" s="15" t="n">
        <v>1</v>
      </c>
      <c r="G102" s="16" t="n">
        <v>63.68</v>
      </c>
      <c r="H102" s="16" t="n">
        <v>63.68</v>
      </c>
      <c r="I102" s="14" t="n">
        <v>2019</v>
      </c>
      <c r="J102" s="14" t="n">
        <v>2019</v>
      </c>
      <c r="K102" s="14" t="n">
        <v>112</v>
      </c>
      <c r="L102" s="14" t="inlineStr">
        <is>
          <t>21% RC</t>
        </is>
      </c>
      <c r="M102" s="13" t="inlineStr">
        <is>
          <t>Extra-UE SaaS (review: posible nuevo tax)</t>
        </is>
      </c>
      <c r="N102" s="17" t="inlineStr"/>
      <c r="O102" s="13" t="inlineStr"/>
      <c r="P102" s="13" t="inlineStr">
        <is>
          <t>COMPRAS SERVICIOS TIPO 21%</t>
        </is>
      </c>
      <c r="Q102" s="13" t="inlineStr">
        <is>
          <t>INVGB100000851201913 (63.68€)</t>
        </is>
      </c>
    </row>
    <row r="103">
      <c r="A103" s="19" t="inlineStr">
        <is>
          <t>EXTRA_UE</t>
        </is>
      </c>
      <c r="B103" s="13" t="inlineStr">
        <is>
          <t>VIMEO INC.</t>
        </is>
      </c>
      <c r="C103" s="14" t="inlineStr">
        <is>
          <t>US</t>
        </is>
      </c>
      <c r="D103" s="13" t="inlineStr">
        <is>
          <t>VIMEO</t>
        </is>
      </c>
      <c r="E103" s="15" t="n">
        <v>1</v>
      </c>
      <c r="F103" s="15" t="n">
        <v>1</v>
      </c>
      <c r="G103" s="16" t="n">
        <v>49.95</v>
      </c>
      <c r="H103" s="16" t="n">
        <v>49.95</v>
      </c>
      <c r="I103" s="14" t="n">
        <v>2018</v>
      </c>
      <c r="J103" s="14" t="n">
        <v>2018</v>
      </c>
      <c r="K103" s="14" t="n">
        <v>112</v>
      </c>
      <c r="L103" s="14" t="inlineStr">
        <is>
          <t>21% RC</t>
        </is>
      </c>
      <c r="M103" s="13" t="inlineStr">
        <is>
          <t>Extra-UE SaaS (review: posible nuevo tax)</t>
        </is>
      </c>
      <c r="N103" s="17" t="inlineStr"/>
      <c r="O103" s="13" t="inlineStr"/>
      <c r="P103" s="13" t="inlineStr">
        <is>
          <t>COMPRAS SERVICIOS TIPO 21%</t>
        </is>
      </c>
      <c r="Q103" s="13" t="inlineStr">
        <is>
          <t>VIM24572960 (49.95€)</t>
        </is>
      </c>
    </row>
    <row r="104">
      <c r="A104" s="19" t="inlineStr">
        <is>
          <t>EXTRA_UE</t>
        </is>
      </c>
      <c r="B104" s="13" t="inlineStr">
        <is>
          <t>SHENZEN TECOOL TRADING CO., LTD</t>
        </is>
      </c>
      <c r="C104" s="14" t="inlineStr">
        <is>
          <t>CN</t>
        </is>
      </c>
      <c r="D104" s="13" t="inlineStr">
        <is>
          <t>SHENZENTECOOL</t>
        </is>
      </c>
      <c r="E104" s="15" t="n">
        <v>1</v>
      </c>
      <c r="F104" s="15" t="n">
        <v>1</v>
      </c>
      <c r="G104" s="16" t="n">
        <v>13.99</v>
      </c>
      <c r="H104" s="16" t="n">
        <v>13.99</v>
      </c>
      <c r="I104" s="14" t="n">
        <v>2019</v>
      </c>
      <c r="J104" s="14" t="n">
        <v>2019</v>
      </c>
      <c r="K104" s="14" t="n">
        <v>112</v>
      </c>
      <c r="L104" s="14" t="inlineStr">
        <is>
          <t>21% RC</t>
        </is>
      </c>
      <c r="M104" s="13" t="inlineStr">
        <is>
          <t>Extra-UE SaaS (review: posible nuevo tax)</t>
        </is>
      </c>
      <c r="N104" s="17" t="inlineStr"/>
      <c r="O104" s="13" t="inlineStr"/>
      <c r="P104" s="13" t="inlineStr">
        <is>
          <t>COMPRAS SERVICIOS TIPO 21%</t>
        </is>
      </c>
      <c r="Q104" s="13" t="inlineStr">
        <is>
          <t>GS201912230003 (13.99€)</t>
        </is>
      </c>
    </row>
    <row r="105">
      <c r="A105" s="19" t="inlineStr">
        <is>
          <t>EXTRA_UE</t>
        </is>
      </c>
      <c r="B105" s="13" t="inlineStr">
        <is>
          <t>SHENZHENRONGTUO E-COMMERCE CO LIMITED</t>
        </is>
      </c>
      <c r="C105" s="14" t="inlineStr">
        <is>
          <t>CN</t>
        </is>
      </c>
      <c r="D105" s="13" t="inlineStr">
        <is>
          <t>SHENZHENRONGTUO</t>
        </is>
      </c>
      <c r="E105" s="15" t="n">
        <v>1</v>
      </c>
      <c r="F105" s="15" t="n">
        <v>1</v>
      </c>
      <c r="G105" s="16" t="n">
        <v>8.220000000000001</v>
      </c>
      <c r="H105" s="16" t="n">
        <v>8.220000000000001</v>
      </c>
      <c r="I105" s="14" t="n">
        <v>2019</v>
      </c>
      <c r="J105" s="14" t="n">
        <v>2019</v>
      </c>
      <c r="K105" s="14" t="n">
        <v>112</v>
      </c>
      <c r="L105" s="14" t="inlineStr">
        <is>
          <t>21% RC</t>
        </is>
      </c>
      <c r="M105" s="13" t="inlineStr">
        <is>
          <t>Extra-UE SaaS (review: posible nuevo tax)</t>
        </is>
      </c>
      <c r="N105" s="17" t="inlineStr"/>
      <c r="O105" s="13" t="inlineStr"/>
      <c r="P105" s="13" t="inlineStr">
        <is>
          <t>COMPRAS SERVICIOS TIPO 21%</t>
        </is>
      </c>
      <c r="Q105" s="13" t="inlineStr">
        <is>
          <t>INVES165013191201945 (8.22€)</t>
        </is>
      </c>
    </row>
    <row r="106">
      <c r="A106" s="19" t="inlineStr">
        <is>
          <t>EXTRA_UE</t>
        </is>
      </c>
      <c r="B106" s="13" t="inlineStr">
        <is>
          <t>SPIGEN KOREA CO., LTD</t>
        </is>
      </c>
      <c r="C106" s="14" t="inlineStr">
        <is>
          <t>CN</t>
        </is>
      </c>
      <c r="D106" s="13" t="inlineStr">
        <is>
          <t>SPIGEN</t>
        </is>
      </c>
      <c r="E106" s="15" t="n">
        <v>1</v>
      </c>
      <c r="F106" s="15" t="n">
        <v>1</v>
      </c>
      <c r="G106" s="16" t="n">
        <v>7.43</v>
      </c>
      <c r="H106" s="16" t="n">
        <v>7.43</v>
      </c>
      <c r="I106" s="14" t="n">
        <v>2019</v>
      </c>
      <c r="J106" s="14" t="n">
        <v>2019</v>
      </c>
      <c r="K106" s="14" t="n">
        <v>112</v>
      </c>
      <c r="L106" s="14" t="inlineStr">
        <is>
          <t>21% RC</t>
        </is>
      </c>
      <c r="M106" s="13" t="inlineStr">
        <is>
          <t>Extra-UE SaaS (review: posible nuevo tax)</t>
        </is>
      </c>
      <c r="N106" s="17" t="inlineStr"/>
      <c r="O106" s="13" t="inlineStr"/>
      <c r="P106" s="13" t="inlineStr">
        <is>
          <t>COMPRAS SERVICIOS TIPO 21%</t>
        </is>
      </c>
      <c r="Q106" s="13" t="inlineStr">
        <is>
          <t>INVES162499111201913 (7.43€)</t>
        </is>
      </c>
    </row>
    <row r="107">
      <c r="A107" s="20" t="inlineStr">
        <is>
          <t>SIN_PAIS</t>
        </is>
      </c>
      <c r="B107" s="13" t="inlineStr">
        <is>
          <t>MING HAO TECHNOLOGY  CO LIMITED</t>
        </is>
      </c>
      <c r="C107" s="14" t="inlineStr">
        <is>
          <t>??</t>
        </is>
      </c>
      <c r="D107" s="13" t="inlineStr">
        <is>
          <t>MING HAO</t>
        </is>
      </c>
      <c r="E107" s="15" t="n">
        <v>1</v>
      </c>
      <c r="F107" s="15" t="n">
        <v>1</v>
      </c>
      <c r="G107" s="16" t="n">
        <v>314.04</v>
      </c>
      <c r="H107" s="16" t="n">
        <v>314.04</v>
      </c>
      <c r="I107" s="14" t="n">
        <v>2019</v>
      </c>
      <c r="J107" s="14" t="n">
        <v>2019</v>
      </c>
      <c r="K107" s="14" t="n">
        <v>112</v>
      </c>
      <c r="L107" s="14" t="inlineStr">
        <is>
          <t>21% RC</t>
        </is>
      </c>
      <c r="M107" s="13" t="inlineStr">
        <is>
          <t>Revisar pais (probable extra-UE)</t>
        </is>
      </c>
      <c r="N107" s="17" t="inlineStr"/>
      <c r="O107" s="13" t="inlineStr"/>
      <c r="P107" s="13" t="inlineStr">
        <is>
          <t>COMPRAS SERVICIOS TIPO 21%</t>
        </is>
      </c>
      <c r="Q107" s="13" t="inlineStr">
        <is>
          <t>INVES896491465201926 (314.04€)</t>
        </is>
      </c>
    </row>
    <row r="108">
      <c r="A108" s="20" t="inlineStr">
        <is>
          <t>SIN_PAIS</t>
        </is>
      </c>
      <c r="B108" s="13" t="inlineStr">
        <is>
          <t>SHENZEN SHI JUNPINGUE WUJIN ZHIPIN YOUXIAN GONGSI</t>
        </is>
      </c>
      <c r="C108" s="14" t="inlineStr">
        <is>
          <t>??</t>
        </is>
      </c>
      <c r="D108" s="13" t="inlineStr">
        <is>
          <t>SHENZENSHI</t>
        </is>
      </c>
      <c r="E108" s="15" t="n">
        <v>2</v>
      </c>
      <c r="F108" s="15" t="n">
        <v>2</v>
      </c>
      <c r="G108" s="16" t="n">
        <v>50.42</v>
      </c>
      <c r="H108" s="16" t="n">
        <v>50.42</v>
      </c>
      <c r="I108" s="14" t="n">
        <v>2019</v>
      </c>
      <c r="J108" s="14" t="n">
        <v>2019</v>
      </c>
      <c r="K108" s="14" t="n">
        <v>112</v>
      </c>
      <c r="L108" s="14" t="inlineStr">
        <is>
          <t>21% RC</t>
        </is>
      </c>
      <c r="M108" s="13" t="inlineStr">
        <is>
          <t>Revisar pais (probable extra-UE)</t>
        </is>
      </c>
      <c r="N108" s="17" t="inlineStr"/>
      <c r="O108" s="13" t="inlineStr"/>
      <c r="P108" s="13" t="inlineStr">
        <is>
          <t>COMPRAS SERVICIOS TIPO 21%</t>
        </is>
      </c>
      <c r="Q108" s="13" t="inlineStr">
        <is>
          <t>INVIT829514295201913 (25.64€) | INVES177280681201913 (24.78€)</t>
        </is>
      </c>
    </row>
    <row r="109">
      <c r="A109" s="20" t="inlineStr">
        <is>
          <t>SIN_PAIS</t>
        </is>
      </c>
      <c r="B109" s="13" t="inlineStr">
        <is>
          <t>HONG KONG UGREEN LIMITED</t>
        </is>
      </c>
      <c r="C109" s="14" t="inlineStr">
        <is>
          <t>??</t>
        </is>
      </c>
      <c r="D109" s="13" t="inlineStr">
        <is>
          <t>UGREEN</t>
        </is>
      </c>
      <c r="E109" s="15" t="n">
        <v>1</v>
      </c>
      <c r="F109" s="15" t="n">
        <v>1</v>
      </c>
      <c r="G109" s="16" t="n">
        <v>49.57</v>
      </c>
      <c r="H109" s="16" t="n">
        <v>49.57</v>
      </c>
      <c r="I109" s="14" t="n">
        <v>2019</v>
      </c>
      <c r="J109" s="14" t="n">
        <v>2019</v>
      </c>
      <c r="K109" s="14" t="n">
        <v>112</v>
      </c>
      <c r="L109" s="14" t="inlineStr">
        <is>
          <t>21% RC</t>
        </is>
      </c>
      <c r="M109" s="13" t="inlineStr">
        <is>
          <t>Revisar pais (probable extra-UE)</t>
        </is>
      </c>
      <c r="N109" s="17" t="inlineStr"/>
      <c r="O109" s="13" t="inlineStr"/>
      <c r="P109" s="13" t="inlineStr">
        <is>
          <t>COMPRAS SERVICIOS TIPO 21%</t>
        </is>
      </c>
      <c r="Q109" s="13" t="inlineStr">
        <is>
          <t>INVES144348211201927 (49.57€)</t>
        </is>
      </c>
    </row>
    <row r="110">
      <c r="A110" s="20" t="inlineStr">
        <is>
          <t>SIN_PAIS</t>
        </is>
      </c>
      <c r="B110" s="13" t="inlineStr">
        <is>
          <t>10GTEK TRANSCEIVERS CO., LIMITED</t>
        </is>
      </c>
      <c r="C110" s="14" t="inlineStr">
        <is>
          <t>??</t>
        </is>
      </c>
      <c r="D110" s="13" t="inlineStr">
        <is>
          <t>10GTEK</t>
        </is>
      </c>
      <c r="E110" s="15" t="n">
        <v>1</v>
      </c>
      <c r="F110" s="15" t="n">
        <v>1</v>
      </c>
      <c r="G110" s="16" t="n">
        <v>39.66</v>
      </c>
      <c r="H110" s="16" t="n">
        <v>39.66</v>
      </c>
      <c r="I110" s="14" t="n">
        <v>2019</v>
      </c>
      <c r="J110" s="14" t="n">
        <v>2019</v>
      </c>
      <c r="K110" s="14" t="n">
        <v>112</v>
      </c>
      <c r="L110" s="14" t="inlineStr">
        <is>
          <t>21% RC</t>
        </is>
      </c>
      <c r="M110" s="13" t="inlineStr">
        <is>
          <t>Revisar pais (probable extra-UE)</t>
        </is>
      </c>
      <c r="N110" s="17" t="inlineStr"/>
      <c r="O110" s="13" t="inlineStr"/>
      <c r="P110" s="13" t="inlineStr">
        <is>
          <t>COMPRAS SERVICIOS TIPO 21%</t>
        </is>
      </c>
      <c r="Q110" s="13" t="inlineStr">
        <is>
          <t>INVES161271101201914 (39.66€)</t>
        </is>
      </c>
    </row>
    <row r="111">
      <c r="A111" s="20" t="inlineStr">
        <is>
          <t>SIN_PAIS</t>
        </is>
      </c>
      <c r="B111" s="13" t="inlineStr">
        <is>
          <t>HMER TRADELIMITED</t>
        </is>
      </c>
      <c r="C111" s="14" t="inlineStr">
        <is>
          <t>??</t>
        </is>
      </c>
      <c r="D111" s="13" t="inlineStr">
        <is>
          <t>HMER</t>
        </is>
      </c>
      <c r="E111" s="15" t="n">
        <v>1</v>
      </c>
      <c r="F111" s="15" t="n">
        <v>1</v>
      </c>
      <c r="G111" s="16" t="n">
        <v>7.49</v>
      </c>
      <c r="H111" s="16" t="n">
        <v>7.49</v>
      </c>
      <c r="I111" s="14" t="n">
        <v>2019</v>
      </c>
      <c r="J111" s="14" t="n">
        <v>2019</v>
      </c>
      <c r="K111" s="14" t="n">
        <v>112</v>
      </c>
      <c r="L111" s="14" t="inlineStr">
        <is>
          <t>21% RC</t>
        </is>
      </c>
      <c r="M111" s="13" t="inlineStr">
        <is>
          <t>Revisar pais (probable extra-UE)</t>
        </is>
      </c>
      <c r="N111" s="17" t="inlineStr"/>
      <c r="O111" s="13" t="inlineStr"/>
      <c r="P111" s="13" t="inlineStr">
        <is>
          <t>COMPRAS SERVICIOS TIPO 21%</t>
        </is>
      </c>
      <c r="Q111" s="13" t="inlineStr">
        <is>
          <t>INVES2019101801 (7.49€)</t>
        </is>
      </c>
    </row>
    <row r="112">
      <c r="A112" s="20" t="inlineStr">
        <is>
          <t>SIN_PAIS</t>
        </is>
      </c>
      <c r="B112" s="13" t="inlineStr">
        <is>
          <t>HONGKONG STAROC TECHNOLOGY CO.,LIMITED</t>
        </is>
      </c>
      <c r="C112" s="14" t="inlineStr">
        <is>
          <t>??</t>
        </is>
      </c>
      <c r="D112" s="13" t="inlineStr">
        <is>
          <t>STAROC</t>
        </is>
      </c>
      <c r="E112" s="15" t="n">
        <v>2</v>
      </c>
      <c r="F112" s="15" t="n">
        <v>2</v>
      </c>
      <c r="G112" s="16" t="n">
        <v>0</v>
      </c>
      <c r="H112" s="16" t="n">
        <v>0</v>
      </c>
      <c r="I112" s="14" t="n">
        <v>2019</v>
      </c>
      <c r="J112" s="14" t="n">
        <v>2020</v>
      </c>
      <c r="K112" s="14" t="n">
        <v>112</v>
      </c>
      <c r="L112" s="14" t="inlineStr">
        <is>
          <t>21% RC</t>
        </is>
      </c>
      <c r="M112" s="13" t="inlineStr">
        <is>
          <t>Revisar pais (probable extra-UE)</t>
        </is>
      </c>
      <c r="N112" s="17" t="inlineStr"/>
      <c r="O112" s="13" t="inlineStr"/>
      <c r="P112" s="13" t="inlineStr">
        <is>
          <t>COMPRAS SERVICIOS TIPO 21%</t>
        </is>
      </c>
      <c r="Q112" s="13" t="inlineStr">
        <is>
          <t>INVFR139642611201910 (14.04€) | FR139642611201910883 (-14.04€)</t>
        </is>
      </c>
    </row>
    <row r="113">
      <c r="A113" s="21" t="inlineStr">
        <is>
          <t>TOTAL</t>
        </is>
      </c>
      <c r="E113" s="22">
        <f>SUM(E2:E112)</f>
        <v/>
      </c>
      <c r="F113" s="22">
        <f>SUM(F2:F112)</f>
        <v/>
      </c>
      <c r="G113" s="23">
        <f>SUM(G2:G112)</f>
        <v/>
      </c>
      <c r="H113" s="23">
        <f>SUM(H2:H112)</f>
        <v/>
      </c>
    </row>
  </sheetData>
  <autoFilter ref="A1:Q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2026-05-13T07:47:04Z</dcterms:created>
  <dcterms:modified xmlns:dcterms="http://purl.org/dc/terms/" xmlns:xsi="http://www.w3.org/2001/XMLSchema-instance" xsi:type="dcterms:W3CDTF">2026-05-13T07:47:05Z</dcterms:modified>
</cp:coreProperties>
</file>